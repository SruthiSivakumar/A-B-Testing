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S - Proportions" sheetId="2" state="visible" r:id="rId4"/>
    <sheet name="SS - Means" sheetId="3" state="visible" r:id="rId5"/>
    <sheet name="Power &amp; MDE Calculator" sheetId="4" state="visible" r:id="rId6"/>
    <sheet name="SRM Chec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<sst xmlns="http://schemas.openxmlformats.org/spreadsheetml/2006/main" count="173" uniqueCount="116">
  <si>
    <t xml:space="preserve">A/B Test Power Analysis &amp; Sample Ratio Mismatch (SRM) Toolkit</t>
  </si>
  <si>
    <t xml:space="preserve">A reusable Excel template for planning experiment sample sizes, checking achieved power, and validating randomization.</t>
  </si>
  <si>
    <t xml:space="preserve">What's in this workbook</t>
  </si>
  <si>
    <t xml:space="preserve">• Sample Size (Proportions) — how many users you need per group to detect a change in a conversion-style metric (conversion rate, click-through rate, retention).</t>
  </si>
  <si>
    <t xml:space="preserve">• Sample Size (Means) — the same question for continuous metrics (revenue per user, time on page, order value).</t>
  </si>
  <si>
    <t xml:space="preserve">• Power &amp; MDE Calculator — two follow-up questions once a test is planned or running: (a) what power do I actually have at this sample size, and (b) what's the smallest effect I could detect with the sample size I have.</t>
  </si>
  <si>
    <t xml:space="preserve">• SRM Check — a chi-square goodness-of-fit test to confirm your traffic was actually split the way you intended, before you trust any result from the test.</t>
  </si>
  <si>
    <t xml:space="preserve">How to use it</t>
  </si>
  <si>
    <t xml:space="preserve">1. Go to the tab you need. Only the yellow cells are meant to be edited — everything else is a formula and will recalculate automatically.</t>
  </si>
  <si>
    <t xml:space="preserve">2. Each tab ships with example values already filled in, so you can see it working end-to-end before you swap in your own numbers.</t>
  </si>
  <si>
    <t xml:space="preserve">3. Duplicate a tab (right-click the tab name → Move or Copy → check 'Create a copy') if you want to keep a record of the inputs for a specific test alongside new calculations.</t>
  </si>
  <si>
    <t xml:space="preserve">4. This template uses the normal approximation (Z-test), which is standard for A/B testing and holds well once expected counts in each group are reasonably large (rule of thumb: at least ~10 expected successes and ~10 expected failures per group for proportions).</t>
  </si>
  <si>
    <t xml:space="preserve">Key terms</t>
  </si>
  <si>
    <t xml:space="preserve">Baseline rate / mean — the current value of your metric in the control group, before any change.</t>
  </si>
  <si>
    <t xml:space="preserve">MDE (Minimum Detectable Effect) — the smallest true effect you want the test to be able to detect. Smaller MDE = larger required sample size.</t>
  </si>
  <si>
    <t xml:space="preserve">Significance level (alpha) — your tolerance for a false positive (concluding there's an effect when there isn't). 0.05 is conventional.</t>
  </si>
  <si>
    <t xml:space="preserve">Statistical power — the probability of detecting a true effect if one exists. 0.80 is conventional; use 0.90 for decisions that are costly to get wrong.</t>
  </si>
  <si>
    <t xml:space="preserve">Sample Ratio Mismatch (SRM) — when the actual split of users across test groups deviates from the intended split by more than chance would explain. It's a strong signal of a broken randomization, logging, or bot-filtering pipeline, and it invalidates the test's results even if the topline metric looks fine.</t>
  </si>
  <si>
    <t xml:space="preserve">Formulas used</t>
  </si>
  <si>
    <t xml:space="preserve">Sample size, proportions:  n = (z_alpha + z_beta)^2 x [p1(1-p1) + p2(1-p2)] / (p2 - p1)^2</t>
  </si>
  <si>
    <t xml:space="preserve">Sample size, means:  n = 2 x (z_alpha + z_beta)^2 x sigma^2 / delta^2</t>
  </si>
  <si>
    <t xml:space="preserve">Achieved power:  Phi( sqrt(n) x |effect| / pooled_SD  -  z_alpha )</t>
  </si>
  <si>
    <t xml:space="preserve">SRM chi-square:  sum[ (observed - expected)^2 / expected ], compared against a chi-square distribution with (groups - 1) degrees of freedom</t>
  </si>
  <si>
    <t xml:space="preserve">All z-scores and p-values are computed with NORMSINV / NORMSDIST / CHIDIST for maximum compatibility across Excel versions and Google Sheets.</t>
  </si>
  <si>
    <t xml:space="preserve">Color legend</t>
  </si>
  <si>
    <t xml:space="preserve">Yellow fill, blue text — an input cell. Edit these.</t>
  </si>
  <si>
    <t xml:space="preserve">Green fill, bold black text — a key output to read off.</t>
  </si>
  <si>
    <t xml:space="preserve">Plain white cell, black text — an intermediate formula. You can inspect it but shouldn't need to touch it.</t>
  </si>
  <si>
    <t xml:space="preserve">Notes &amp; limitations</t>
  </si>
  <si>
    <t xml:space="preserve">• This template assumes a two-group (or multi-group vs. control) randomized test with independent observations per user. It is not designed for clustered randomization (e.g., geo-level tests) — for that, a GeoLift-style causal-inference approach is more appropriate.</t>
  </si>
  <si>
    <t xml:space="preserve">• The Bonferroni correction option is a simple, conservative way to control for multiple comparisons when testing more than one treatment against a single control. For more statistical power with many comparisons, consider a less conservative correction (e.g., Benjamini-Hochberg) outside this template.</t>
  </si>
  <si>
    <t xml:space="preserve">• Sample size and MDE formulas for proportions use the pooled-variance approximation. Contact stats support for very small baseline rates (&lt;1%) or very small samples, where the normal approximation breaks down.</t>
  </si>
  <si>
    <t xml:space="preserve">Sample Size Calculator — Proportions</t>
  </si>
  <si>
    <t xml:space="preserve">For binary / conversion-style metrics: conversion rate, click-through rate, sign-up rate, retention rate, etc.</t>
  </si>
  <si>
    <t xml:space="preserve">INPUTS  —  edit the yellow cells</t>
  </si>
  <si>
    <t xml:space="preserve">Baseline conversion rate (p1)</t>
  </si>
  <si>
    <t xml:space="preserve">Your control group's current rate, as a decimal or %.</t>
  </si>
  <si>
    <t xml:space="preserve">MDE type</t>
  </si>
  <si>
    <t xml:space="preserve">Relative % lift</t>
  </si>
  <si>
    <t xml:space="preserve">How you're expressing the effect you want to detect.</t>
  </si>
  <si>
    <t xml:space="preserve">MDE value</t>
  </si>
  <si>
    <t xml:space="preserve">e.g. 0.10 = a 10% relative lift over baseline, or 0.02 = 2 percentage points if 'Absolute' is selected.</t>
  </si>
  <si>
    <t xml:space="preserve">Significance level (alpha)</t>
  </si>
  <si>
    <t xml:space="preserve">Tolerance for a false positive. 0.05 is conventional.</t>
  </si>
  <si>
    <t xml:space="preserve">Statistical power (1 - beta)</t>
  </si>
  <si>
    <t xml:space="preserve">Chance of detecting a true effect. 0.80 is conventional, use 0.90 for high-stakes tests.</t>
  </si>
  <si>
    <t xml:space="preserve">Test type</t>
  </si>
  <si>
    <t xml:space="preserve">Two-sided</t>
  </si>
  <si>
    <t xml:space="preserve">Two-sided is recommended unless you can only ever act on an effect in one direction.</t>
  </si>
  <si>
    <t xml:space="preserve">Number of test groups (incl. control)</t>
  </si>
  <si>
    <t xml:space="preserve">Used for total sample size and, optionally, the multiple-comparison correction below.</t>
  </si>
  <si>
    <t xml:space="preserve">Apply Bonferroni correction?</t>
  </si>
  <si>
    <t xml:space="preserve">No</t>
  </si>
  <si>
    <t xml:space="preserve">Adjusts alpha down when you're running more than one treatment vs. the same control at once.</t>
  </si>
  <si>
    <t xml:space="preserve">Daily traffic per group (optional)</t>
  </si>
  <si>
    <t xml:space="preserve">Leave as-is or clear if you don't want a duration estimate.</t>
  </si>
  <si>
    <t xml:space="preserve">OUTPUTS</t>
  </si>
  <si>
    <t xml:space="preserve">Expected treatment rate (p2)</t>
  </si>
  <si>
    <t xml:space="preserve">Baseline rate adjusted by the MDE above.</t>
  </si>
  <si>
    <t xml:space="preserve">Adjusted alpha (after correction)</t>
  </si>
  <si>
    <t xml:space="preserve">Z-score (alpha)</t>
  </si>
  <si>
    <t xml:space="preserve">Z-score (power)</t>
  </si>
  <si>
    <t xml:space="preserve">Required sample size per group</t>
  </si>
  <si>
    <t xml:space="preserve">Total sample size (all groups)</t>
  </si>
  <si>
    <t xml:space="preserve">Estimated test duration (days)</t>
  </si>
  <si>
    <t xml:space="preserve">NOTES</t>
  </si>
  <si>
    <t xml:space="preserve">Formula: n per group = (z_alpha + z_beta)^2 x [p1(1-p1) + p2(1-p2)] / (p2 - p1)^2. Valid when expected successes and failures per group are both roughly 10+; for very small baseline rates, treat the output as a lower bound and consider a continuity-corrected or exact test.</t>
  </si>
  <si>
    <t xml:space="preserve">Sample Size Calculator — Means</t>
  </si>
  <si>
    <t xml:space="preserve">For continuous metrics: revenue per user, time on page, order value, session length, etc.</t>
  </si>
  <si>
    <t xml:space="preserve">Baseline mean (mu1)</t>
  </si>
  <si>
    <t xml:space="preserve">Your control group's current average value.</t>
  </si>
  <si>
    <t xml:space="preserve">Baseline standard deviation (sigma)</t>
  </si>
  <si>
    <t xml:space="preserve">From historical data. Assumed equal across groups (standard simplification).</t>
  </si>
  <si>
    <t xml:space="preserve">e.g. 0.10 = a 10% relative lift, or 5 = an absolute +5 units if 'Absolute' is selected.</t>
  </si>
  <si>
    <t xml:space="preserve">Effect size to detect (delta)</t>
  </si>
  <si>
    <t xml:space="preserve">Absolute difference between baseline mean and target mean.</t>
  </si>
  <si>
    <t xml:space="preserve">Formula: n per group = 2 x (z_alpha + z_beta)^2 x sigma^2 / delta^2. Assumes equal variance in control and treatment groups, and a large-enough sample for the normal approximation to the sampling distribution of the mean to hold (Central Limit Theorem).</t>
  </si>
  <si>
    <t xml:space="preserve">Power &amp; MDE Calculator</t>
  </si>
  <si>
    <t xml:space="preserve">Two follow-up questions for a test that's already planned or running.</t>
  </si>
  <si>
    <t xml:space="preserve">A.  Achieved Power — Proportions   (given a fixed sample size, what power do I actually have?)</t>
  </si>
  <si>
    <t xml:space="preserve">Baseline rate (p1)</t>
  </si>
  <si>
    <t xml:space="preserve">Treatment rate (p2) — actual or expected</t>
  </si>
  <si>
    <t xml:space="preserve">Sample size per group (n)</t>
  </si>
  <si>
    <t xml:space="preserve">Achieved statistical power</t>
  </si>
  <si>
    <t xml:space="preserve">Rule of thumb: aim for 0.80+.</t>
  </si>
  <si>
    <t xml:space="preserve">B.  Achieved Power — Means</t>
  </si>
  <si>
    <t xml:space="preserve">Target / treatment mean (mu2)</t>
  </si>
  <si>
    <t xml:space="preserve">Standard deviation (sigma)</t>
  </si>
  <si>
    <t xml:space="preserve">C.  Minimum Detectable Effect — Proportions   (given my sample size, what's the smallest effect I can find?)</t>
  </si>
  <si>
    <t xml:space="preserve">Target statistical power</t>
  </si>
  <si>
    <t xml:space="preserve">Minimum detectable effect (absolute, pp)</t>
  </si>
  <si>
    <t xml:space="preserve">Minimum detectable effect (relative %)</t>
  </si>
  <si>
    <t xml:space="preserve">Approximation assumes the true effect is small enough that p2 is close to p1.</t>
  </si>
  <si>
    <t xml:space="preserve">D.  Minimum Detectable Effect — Means</t>
  </si>
  <si>
    <t xml:space="preserve">Baseline mean (mu1) — optional, only needed for % MDE</t>
  </si>
  <si>
    <t xml:space="preserve">Minimum detectable effect (absolute)</t>
  </si>
  <si>
    <t xml:space="preserve">Sample Ratio Mismatch (SRM) Check</t>
  </si>
  <si>
    <t xml:space="preserve">Confirms your test groups were actually split the way you intended. Run this before trusting any test result.</t>
  </si>
  <si>
    <t xml:space="preserve">Number of groups (2-5)</t>
  </si>
  <si>
    <t xml:space="preserve">SRM flag threshold (p-value)</t>
  </si>
  <si>
    <t xml:space="preserve">0.01 is standard; use 0.001 for very large samples to avoid over-flagging.</t>
  </si>
  <si>
    <t xml:space="preserve">Group label</t>
  </si>
  <si>
    <t xml:space="preserve">Expected ratio</t>
  </si>
  <si>
    <t xml:space="preserve">Observed count</t>
  </si>
  <si>
    <t xml:space="preserve">Expected count</t>
  </si>
  <si>
    <t xml:space="preserve">Chi-sq contribution</t>
  </si>
  <si>
    <t xml:space="preserve">Control</t>
  </si>
  <si>
    <t xml:space="preserve">Treatment</t>
  </si>
  <si>
    <t xml:space="preserve">Total observed</t>
  </si>
  <si>
    <t xml:space="preserve">Chi-square statistic</t>
  </si>
  <si>
    <t xml:space="preserve">Degrees of freedom</t>
  </si>
  <si>
    <t xml:space="preserve">p-value</t>
  </si>
  <si>
    <t xml:space="preserve">SRM detected?</t>
  </si>
  <si>
    <t xml:space="preserve">Only fill in as many groups as your test has (set 'Number of groups' above); leave unused rows at ratio 0 / count 0.</t>
  </si>
  <si>
    <t xml:space="preserve">Common causes of SRM: bot or crawler traffic filtered asymmetrically across groups, a redirect or caching bug that favors one variant, client-side randomization that fails silently on certain devices/browsers, or logging pipelines that drop events differentially by group.</t>
  </si>
  <si>
    <t xml:space="preserve">If SRM is detected, do not interpret the test's topline results - the groups are not comparable, so any difference you see may reflect the mismatch itself rather than a true treatment effect. Fix the underlying issue and rerun the test.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</si>
</sst>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#,##0"/>
    <numFmt numFmtId="167" formatCode="0.000%"/>
    <numFmt numFmtId="168" formatCode="0.000"/>
    <numFmt numFmtId="169" formatCode="#,##0.00"/>
    <numFmt numFmtId="170" formatCode="0.00"/>
    <numFmt numFmtId="171" formatCode="#,##0.0"/>
    <numFmt numFmtId="172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F4E78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5"/>
      <color rgb="FF1F4E78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CE4E4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B1:B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5"/>
  </cols>
  <sheetData>
    <row r="1" customFormat="false" ht="20.9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5" customFormat="false" ht="18" hidden="false" customHeight="true" outlineLevel="0" collapsed="false">
      <c r="B5" s="3" t="s">
        <v>2</v>
      </c>
    </row>
    <row r="6" customFormat="false" ht="23.8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23.85" hidden="false" customHeight="false" outlineLevel="0" collapsed="false">
      <c r="B8" s="4" t="s">
        <v>5</v>
      </c>
    </row>
    <row r="9" customFormat="false" ht="23.85" hidden="false" customHeight="false" outlineLevel="0" collapsed="false">
      <c r="B9" s="4" t="s">
        <v>6</v>
      </c>
    </row>
    <row r="11" customFormat="false" ht="18" hidden="false" customHeight="true" outlineLevel="0" collapsed="false">
      <c r="B11" s="3" t="s">
        <v>7</v>
      </c>
    </row>
    <row r="12" customFormat="false" ht="23.85" hidden="false" customHeight="false" outlineLevel="0" collapsed="false">
      <c r="B12" s="4" t="s">
        <v>8</v>
      </c>
    </row>
    <row r="13" customFormat="false" ht="23.85" hidden="false" customHeight="false" outlineLevel="0" collapsed="false">
      <c r="B13" s="4" t="s">
        <v>9</v>
      </c>
    </row>
    <row r="14" customFormat="false" ht="23.85" hidden="false" customHeight="false" outlineLevel="0" collapsed="false">
      <c r="B14" s="4" t="s">
        <v>10</v>
      </c>
    </row>
    <row r="15" customFormat="false" ht="35.05" hidden="false" customHeight="false" outlineLevel="0" collapsed="false">
      <c r="B15" s="4" t="s">
        <v>11</v>
      </c>
    </row>
    <row r="17" customFormat="false" ht="18" hidden="false" customHeight="true" outlineLevel="0" collapsed="false">
      <c r="B17" s="3" t="s">
        <v>12</v>
      </c>
    </row>
    <row r="18" customFormat="false" ht="15" hidden="false" customHeight="false" outlineLevel="0" collapsed="false">
      <c r="B18" s="4" t="s">
        <v>13</v>
      </c>
    </row>
    <row r="19" customFormat="false" ht="23.85" hidden="false" customHeight="false" outlineLevel="0" collapsed="false">
      <c r="B19" s="4" t="s">
        <v>14</v>
      </c>
    </row>
    <row r="20" customFormat="false" ht="23.85" hidden="false" customHeight="false" outlineLevel="0" collapsed="false">
      <c r="B20" s="4" t="s">
        <v>15</v>
      </c>
    </row>
    <row r="21" customFormat="false" ht="23.85" hidden="false" customHeight="false" outlineLevel="0" collapsed="false">
      <c r="B21" s="4" t="s">
        <v>16</v>
      </c>
    </row>
    <row r="22" customFormat="false" ht="35.05" hidden="false" customHeight="false" outlineLevel="0" collapsed="false">
      <c r="B22" s="4" t="s">
        <v>17</v>
      </c>
    </row>
    <row r="24" customFormat="false" ht="18" hidden="false" customHeight="true" outlineLevel="0" collapsed="false">
      <c r="B24" s="3" t="s">
        <v>18</v>
      </c>
    </row>
    <row r="25" customFormat="false" ht="15" hidden="false" customHeight="false" outlineLevel="0" collapsed="false">
      <c r="B25" s="4" t="s">
        <v>19</v>
      </c>
    </row>
    <row r="26" customFormat="false" ht="15" hidden="false" customHeight="false" outlineLevel="0" collapsed="false">
      <c r="B26" s="4" t="s">
        <v>20</v>
      </c>
    </row>
    <row r="27" customFormat="false" ht="15" hidden="false" customHeight="false" outlineLevel="0" collapsed="false">
      <c r="B27" s="4" t="s">
        <v>21</v>
      </c>
    </row>
    <row r="28" customFormat="false" ht="23.85" hidden="false" customHeight="false" outlineLevel="0" collapsed="false">
      <c r="B28" s="4" t="s">
        <v>22</v>
      </c>
    </row>
    <row r="29" customFormat="false" ht="23.85" hidden="false" customHeight="false" outlineLevel="0" collapsed="false">
      <c r="B29" s="4" t="s">
        <v>23</v>
      </c>
    </row>
    <row r="31" customFormat="false" ht="18" hidden="false" customHeight="true" outlineLevel="0" collapsed="false">
      <c r="B31" s="3" t="s">
        <v>24</v>
      </c>
    </row>
    <row r="32" customFormat="false" ht="15" hidden="false" customHeight="false" outlineLevel="0" collapsed="false">
      <c r="B32" s="4" t="s">
        <v>25</v>
      </c>
    </row>
    <row r="33" customFormat="false" ht="15" hidden="false" customHeight="false" outlineLevel="0" collapsed="false">
      <c r="B33" s="4" t="s">
        <v>26</v>
      </c>
    </row>
    <row r="34" customFormat="false" ht="15" hidden="false" customHeight="false" outlineLevel="0" collapsed="false">
      <c r="B34" s="4" t="s">
        <v>27</v>
      </c>
    </row>
    <row r="36" customFormat="false" ht="18" hidden="false" customHeight="true" outlineLevel="0" collapsed="false">
      <c r="B36" s="3" t="s">
        <v>28</v>
      </c>
    </row>
    <row r="37" customFormat="false" ht="35.05" hidden="false" customHeight="false" outlineLevel="0" collapsed="false">
      <c r="B37" s="4" t="s">
        <v>29</v>
      </c>
    </row>
    <row r="38" customFormat="false" ht="35.05" hidden="false" customHeight="false" outlineLevel="0" collapsed="false">
      <c r="B38" s="4" t="s">
        <v>30</v>
      </c>
    </row>
    <row r="39" customFormat="false" ht="23.85" hidden="false" customHeight="false" outlineLevel="0" collapsed="false">
      <c r="B39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B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55"/>
  </cols>
  <sheetData>
    <row r="1" customFormat="false" ht="21.75" hidden="false" customHeight="true" outlineLevel="0" collapsed="false">
      <c r="B1" s="5" t="s">
        <v>32</v>
      </c>
      <c r="C1" s="5"/>
      <c r="D1" s="5"/>
    </row>
    <row r="2" customFormat="false" ht="15" hidden="false" customHeight="false" outlineLevel="0" collapsed="false">
      <c r="B2" s="6" t="s">
        <v>33</v>
      </c>
      <c r="C2" s="6"/>
      <c r="D2" s="6"/>
    </row>
    <row r="4" customFormat="false" ht="18" hidden="false" customHeight="true" outlineLevel="0" collapsed="false">
      <c r="B4" s="7" t="s">
        <v>34</v>
      </c>
      <c r="C4" s="7"/>
      <c r="D4" s="7"/>
    </row>
    <row r="5" customFormat="false" ht="15" hidden="false" customHeight="false" outlineLevel="0" collapsed="false">
      <c r="B5" s="8" t="s">
        <v>35</v>
      </c>
      <c r="C5" s="9" t="n">
        <v>0.1</v>
      </c>
      <c r="D5" s="10" t="s">
        <v>36</v>
      </c>
    </row>
    <row r="6" customFormat="false" ht="15" hidden="false" customHeight="false" outlineLevel="0" collapsed="false">
      <c r="B6" s="8" t="s">
        <v>37</v>
      </c>
      <c r="C6" s="11" t="s">
        <v>38</v>
      </c>
      <c r="D6" s="10" t="s">
        <v>39</v>
      </c>
    </row>
    <row r="7" customFormat="false" ht="22.35" hidden="false" customHeight="false" outlineLevel="0" collapsed="false">
      <c r="B7" s="8" t="s">
        <v>40</v>
      </c>
      <c r="C7" s="9" t="n">
        <v>0.1</v>
      </c>
      <c r="D7" s="10" t="s">
        <v>41</v>
      </c>
    </row>
    <row r="8" customFormat="false" ht="15" hidden="false" customHeight="false" outlineLevel="0" collapsed="false">
      <c r="B8" s="8" t="s">
        <v>42</v>
      </c>
      <c r="C8" s="9" t="n">
        <v>0.05</v>
      </c>
      <c r="D8" s="10" t="s">
        <v>43</v>
      </c>
    </row>
    <row r="9" customFormat="false" ht="22.35" hidden="false" customHeight="false" outlineLevel="0" collapsed="false">
      <c r="B9" s="8" t="s">
        <v>44</v>
      </c>
      <c r="C9" s="9" t="n">
        <v>0.8</v>
      </c>
      <c r="D9" s="10" t="s">
        <v>45</v>
      </c>
    </row>
    <row r="10" customFormat="false" ht="22.35" hidden="false" customHeight="false" outlineLevel="0" collapsed="false">
      <c r="B10" s="8" t="s">
        <v>46</v>
      </c>
      <c r="C10" s="11" t="s">
        <v>47</v>
      </c>
      <c r="D10" s="10" t="s">
        <v>48</v>
      </c>
    </row>
    <row r="11" customFormat="false" ht="22.35" hidden="false" customHeight="false" outlineLevel="0" collapsed="false">
      <c r="B11" s="8" t="s">
        <v>49</v>
      </c>
      <c r="C11" s="12" t="n">
        <v>2</v>
      </c>
      <c r="D11" s="10" t="s">
        <v>50</v>
      </c>
    </row>
    <row r="12" customFormat="false" ht="22.35" hidden="false" customHeight="false" outlineLevel="0" collapsed="false">
      <c r="B12" s="8" t="s">
        <v>51</v>
      </c>
      <c r="C12" s="11" t="s">
        <v>52</v>
      </c>
      <c r="D12" s="10" t="s">
        <v>53</v>
      </c>
    </row>
    <row r="13" customFormat="false" ht="15" hidden="false" customHeight="false" outlineLevel="0" collapsed="false">
      <c r="B13" s="8" t="s">
        <v>54</v>
      </c>
      <c r="C13" s="12" t="n">
        <v>1000</v>
      </c>
      <c r="D13" s="10" t="s">
        <v>55</v>
      </c>
    </row>
    <row r="15" customFormat="false" ht="18" hidden="false" customHeight="true" outlineLevel="0" collapsed="false">
      <c r="B15" s="7" t="s">
        <v>56</v>
      </c>
      <c r="C15" s="7"/>
      <c r="D15" s="7"/>
    </row>
    <row r="16" customFormat="false" ht="15" hidden="false" customHeight="false" outlineLevel="0" collapsed="false">
      <c r="B16" s="8" t="s">
        <v>57</v>
      </c>
      <c r="C16" s="13" t="n">
        <f aca="false">IF(C6="Relative % lift",C5*(1+C7),C5+C7)</f>
        <v>0.11</v>
      </c>
      <c r="D16" s="10" t="s">
        <v>58</v>
      </c>
    </row>
    <row r="17" customFormat="false" ht="15" hidden="false" customHeight="false" outlineLevel="0" collapsed="false">
      <c r="B17" s="8" t="s">
        <v>59</v>
      </c>
      <c r="C17" s="14" t="n">
        <f aca="false">IFERROR(IF(C12="Yes",C8/(C11-1),C8),C8)</f>
        <v>0.05</v>
      </c>
    </row>
    <row r="18" customFormat="false" ht="15" hidden="false" customHeight="false" outlineLevel="0" collapsed="false">
      <c r="B18" s="8" t="s">
        <v>60</v>
      </c>
      <c r="C18" s="15" t="n">
        <f aca="false">IF(C10="Two-sided",NORMSINV(1-C17/2),NORMSINV(1-C17))</f>
        <v>1.95996398454005</v>
      </c>
    </row>
    <row r="19" customFormat="false" ht="15" hidden="false" customHeight="false" outlineLevel="0" collapsed="false">
      <c r="B19" s="8" t="s">
        <v>61</v>
      </c>
      <c r="C19" s="15" t="n">
        <f aca="false">NORMSINV(C9)</f>
        <v>0.841621233572914</v>
      </c>
    </row>
    <row r="20" customFormat="false" ht="15" hidden="false" customHeight="false" outlineLevel="0" collapsed="false">
      <c r="B20" s="8" t="s">
        <v>62</v>
      </c>
      <c r="C20" s="16" t="n">
        <f aca="false">IFERROR(ROUNDUP((C18+C19)^2*(C5*(1-C5)+C16*(1-C16))/(C16-C5)^2,0),"Check inputs (p1 = p2?)")</f>
        <v>14749</v>
      </c>
    </row>
    <row r="21" customFormat="false" ht="15" hidden="false" customHeight="false" outlineLevel="0" collapsed="false">
      <c r="B21" s="8" t="s">
        <v>63</v>
      </c>
      <c r="C21" s="16" t="n">
        <f aca="false">IFERROR(C20*C11,"—")</f>
        <v>29498</v>
      </c>
    </row>
    <row r="22" customFormat="false" ht="15" hidden="false" customHeight="false" outlineLevel="0" collapsed="false">
      <c r="B22" s="8" t="s">
        <v>64</v>
      </c>
      <c r="C22" s="16" t="n">
        <f aca="false">IFERROR(ROUNDUP(C20/C13,0),"Enter daily traffic")</f>
        <v>15</v>
      </c>
    </row>
    <row r="24" customFormat="false" ht="18" hidden="false" customHeight="true" outlineLevel="0" collapsed="false">
      <c r="B24" s="7" t="s">
        <v>65</v>
      </c>
      <c r="C24" s="7"/>
      <c r="D24" s="7"/>
    </row>
    <row r="25" customFormat="false" ht="30" hidden="false" customHeight="true" outlineLevel="0" collapsed="false">
      <c r="B25" s="17" t="s">
        <v>66</v>
      </c>
      <c r="C25" s="17"/>
      <c r="D25" s="17"/>
    </row>
  </sheetData>
  <mergeCells count="6">
    <mergeCell ref="B1:D1"/>
    <mergeCell ref="B2:D2"/>
    <mergeCell ref="B4:D4"/>
    <mergeCell ref="B15:D15"/>
    <mergeCell ref="B24:D24"/>
    <mergeCell ref="B25:D25"/>
  </mergeCells>
  <conditionalFormatting sqref="C20">
    <cfRule type="expression" priority="2" aboveAverage="0" equalAverage="0" bottom="0" percent="0" rank="0" text="" dxfId="0">
      <formula>ISTEXT(C20)</formula>
    </cfRule>
  </conditionalFormatting>
  <dataValidations count="3">
    <dataValidation allowBlank="false" errorStyle="stop" operator="between" showDropDown="false" showErrorMessage="false" showInputMessage="false" sqref="C6" type="list">
      <formula1>"Relative % lift,Absolute percentage points"</formula1>
      <formula2>0</formula2>
    </dataValidation>
    <dataValidation allowBlank="false" errorStyle="stop" operator="between" showDropDown="false" showErrorMessage="false" showInputMessage="false" sqref="C10" type="list">
      <formula1>"Two-sided,One-sided"</formula1>
      <formula2>0</formula2>
    </dataValidation>
    <dataValidation allowBlank="false" errorStyle="stop" operator="between" showDropDown="false" showErrorMessage="false" showInputMessage="false" sqref="C12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B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55"/>
  </cols>
  <sheetData>
    <row r="1" customFormat="false" ht="21.75" hidden="false" customHeight="true" outlineLevel="0" collapsed="false">
      <c r="B1" s="5" t="s">
        <v>67</v>
      </c>
      <c r="C1" s="5"/>
      <c r="D1" s="5"/>
    </row>
    <row r="2" customFormat="false" ht="15" hidden="false" customHeight="false" outlineLevel="0" collapsed="false">
      <c r="B2" s="6" t="s">
        <v>68</v>
      </c>
      <c r="C2" s="6"/>
      <c r="D2" s="6"/>
    </row>
    <row r="4" customFormat="false" ht="18" hidden="false" customHeight="true" outlineLevel="0" collapsed="false">
      <c r="B4" s="7" t="s">
        <v>34</v>
      </c>
      <c r="C4" s="7"/>
      <c r="D4" s="7"/>
    </row>
    <row r="5" customFormat="false" ht="15" hidden="false" customHeight="false" outlineLevel="0" collapsed="false">
      <c r="B5" s="8" t="s">
        <v>69</v>
      </c>
      <c r="C5" s="18" t="n">
        <v>50</v>
      </c>
      <c r="D5" s="10" t="s">
        <v>70</v>
      </c>
    </row>
    <row r="6" customFormat="false" ht="22.35" hidden="false" customHeight="false" outlineLevel="0" collapsed="false">
      <c r="B6" s="8" t="s">
        <v>71</v>
      </c>
      <c r="C6" s="18" t="n">
        <v>15</v>
      </c>
      <c r="D6" s="10" t="s">
        <v>72</v>
      </c>
    </row>
    <row r="7" customFormat="false" ht="15" hidden="false" customHeight="false" outlineLevel="0" collapsed="false">
      <c r="B7" s="8" t="s">
        <v>37</v>
      </c>
      <c r="C7" s="11" t="s">
        <v>38</v>
      </c>
      <c r="D7" s="10" t="s">
        <v>39</v>
      </c>
    </row>
    <row r="8" customFormat="false" ht="22.35" hidden="false" customHeight="false" outlineLevel="0" collapsed="false">
      <c r="B8" s="8" t="s">
        <v>40</v>
      </c>
      <c r="C8" s="19" t="n">
        <v>0.1</v>
      </c>
      <c r="D8" s="10" t="s">
        <v>73</v>
      </c>
    </row>
    <row r="9" customFormat="false" ht="15" hidden="false" customHeight="false" outlineLevel="0" collapsed="false">
      <c r="B9" s="8" t="s">
        <v>42</v>
      </c>
      <c r="C9" s="9" t="n">
        <v>0.05</v>
      </c>
      <c r="D9" s="10" t="s">
        <v>43</v>
      </c>
    </row>
    <row r="10" customFormat="false" ht="22.35" hidden="false" customHeight="false" outlineLevel="0" collapsed="false">
      <c r="B10" s="8" t="s">
        <v>44</v>
      </c>
      <c r="C10" s="9" t="n">
        <v>0.8</v>
      </c>
      <c r="D10" s="10" t="s">
        <v>45</v>
      </c>
    </row>
    <row r="11" customFormat="false" ht="22.35" hidden="false" customHeight="false" outlineLevel="0" collapsed="false">
      <c r="B11" s="8" t="s">
        <v>46</v>
      </c>
      <c r="C11" s="11" t="s">
        <v>47</v>
      </c>
      <c r="D11" s="10" t="s">
        <v>48</v>
      </c>
    </row>
    <row r="12" customFormat="false" ht="22.35" hidden="false" customHeight="false" outlineLevel="0" collapsed="false">
      <c r="B12" s="8" t="s">
        <v>49</v>
      </c>
      <c r="C12" s="12" t="n">
        <v>2</v>
      </c>
      <c r="D12" s="10" t="s">
        <v>50</v>
      </c>
    </row>
    <row r="13" customFormat="false" ht="22.35" hidden="false" customHeight="false" outlineLevel="0" collapsed="false">
      <c r="B13" s="8" t="s">
        <v>51</v>
      </c>
      <c r="C13" s="11" t="s">
        <v>52</v>
      </c>
      <c r="D13" s="10" t="s">
        <v>53</v>
      </c>
    </row>
    <row r="14" customFormat="false" ht="15" hidden="false" customHeight="false" outlineLevel="0" collapsed="false">
      <c r="B14" s="8" t="s">
        <v>54</v>
      </c>
      <c r="C14" s="12" t="n">
        <v>1000</v>
      </c>
      <c r="D14" s="10" t="s">
        <v>55</v>
      </c>
    </row>
    <row r="16" customFormat="false" ht="18" hidden="false" customHeight="true" outlineLevel="0" collapsed="false">
      <c r="B16" s="7" t="s">
        <v>56</v>
      </c>
      <c r="C16" s="7"/>
      <c r="D16" s="7"/>
    </row>
    <row r="17" customFormat="false" ht="15" hidden="false" customHeight="false" outlineLevel="0" collapsed="false">
      <c r="B17" s="8" t="s">
        <v>74</v>
      </c>
      <c r="C17" s="20" t="n">
        <f aca="false">IF(C7="Relative % lift",C5*C8,C8)</f>
        <v>5</v>
      </c>
      <c r="D17" s="10" t="s">
        <v>75</v>
      </c>
    </row>
    <row r="18" customFormat="false" ht="15" hidden="false" customHeight="false" outlineLevel="0" collapsed="false">
      <c r="B18" s="8" t="s">
        <v>59</v>
      </c>
      <c r="C18" s="14" t="n">
        <f aca="false">IFERROR(IF(C13="Yes",C9/(C12-1),C9),C9)</f>
        <v>0.05</v>
      </c>
    </row>
    <row r="19" customFormat="false" ht="15" hidden="false" customHeight="false" outlineLevel="0" collapsed="false">
      <c r="B19" s="8" t="s">
        <v>60</v>
      </c>
      <c r="C19" s="15" t="n">
        <f aca="false">IF(C11="Two-sided",NORMSINV(1-C18/2),NORMSINV(1-C18))</f>
        <v>1.95996398454005</v>
      </c>
    </row>
    <row r="20" customFormat="false" ht="15" hidden="false" customHeight="false" outlineLevel="0" collapsed="false">
      <c r="B20" s="8" t="s">
        <v>61</v>
      </c>
      <c r="C20" s="15" t="n">
        <f aca="false">NORMSINV(C10)</f>
        <v>0.841621233572914</v>
      </c>
    </row>
    <row r="21" customFormat="false" ht="15" hidden="false" customHeight="false" outlineLevel="0" collapsed="false">
      <c r="B21" s="8" t="s">
        <v>62</v>
      </c>
      <c r="C21" s="16" t="n">
        <f aca="false">IFERROR(ROUNDUP(2*(C19+C20)^2*C6^2/C17^2,0),"Check inputs")</f>
        <v>142</v>
      </c>
    </row>
    <row r="22" customFormat="false" ht="15" hidden="false" customHeight="false" outlineLevel="0" collapsed="false">
      <c r="B22" s="8" t="s">
        <v>63</v>
      </c>
      <c r="C22" s="16" t="n">
        <f aca="false">IFERROR(C21*C12,"—")</f>
        <v>284</v>
      </c>
    </row>
    <row r="23" customFormat="false" ht="15" hidden="false" customHeight="false" outlineLevel="0" collapsed="false">
      <c r="B23" s="8" t="s">
        <v>64</v>
      </c>
      <c r="C23" s="16" t="n">
        <f aca="false">IFERROR(ROUNDUP(C21/C14,0),"Enter daily traffic")</f>
        <v>1</v>
      </c>
    </row>
    <row r="25" customFormat="false" ht="18" hidden="false" customHeight="true" outlineLevel="0" collapsed="false">
      <c r="B25" s="7" t="s">
        <v>65</v>
      </c>
      <c r="C25" s="7"/>
      <c r="D25" s="7"/>
    </row>
    <row r="26" customFormat="false" ht="30" hidden="false" customHeight="true" outlineLevel="0" collapsed="false">
      <c r="B26" s="17" t="s">
        <v>76</v>
      </c>
      <c r="C26" s="17"/>
      <c r="D26" s="17"/>
    </row>
  </sheetData>
  <mergeCells count="6">
    <mergeCell ref="B1:D1"/>
    <mergeCell ref="B2:D2"/>
    <mergeCell ref="B4:D4"/>
    <mergeCell ref="B16:D16"/>
    <mergeCell ref="B25:D25"/>
    <mergeCell ref="B26:D26"/>
  </mergeCells>
  <conditionalFormatting sqref="C21">
    <cfRule type="expression" priority="2" aboveAverage="0" equalAverage="0" bottom="0" percent="0" rank="0" text="" dxfId="0">
      <formula>ISTEXT(C21)</formula>
    </cfRule>
  </conditionalFormatting>
  <dataValidations count="3">
    <dataValidation allowBlank="false" errorStyle="stop" operator="between" showDropDown="false" showErrorMessage="false" showInputMessage="false" sqref="C7" type="list">
      <formula1>"Relative % lift,Absolute value"</formula1>
      <formula2>0</formula2>
    </dataValidation>
    <dataValidation allowBlank="false" errorStyle="stop" operator="between" showDropDown="false" showErrorMessage="false" showInputMessage="false" sqref="C11" type="list">
      <formula1>"Two-sided,One-sided"</formula1>
      <formula2>0</formula2>
    </dataValidation>
    <dataValidation allowBlank="false" errorStyle="stop" operator="between" showDropDown="false" showErrorMessage="false" showInputMessage="false" sqref="C13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B1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55"/>
  </cols>
  <sheetData>
    <row r="1" customFormat="false" ht="21.75" hidden="false" customHeight="true" outlineLevel="0" collapsed="false">
      <c r="B1" s="5" t="s">
        <v>77</v>
      </c>
      <c r="C1" s="5"/>
      <c r="D1" s="5"/>
    </row>
    <row r="2" customFormat="false" ht="15" hidden="false" customHeight="false" outlineLevel="0" collapsed="false">
      <c r="B2" s="6" t="s">
        <v>78</v>
      </c>
      <c r="C2" s="6"/>
      <c r="D2" s="6"/>
    </row>
    <row r="4" customFormat="false" ht="18" hidden="false" customHeight="true" outlineLevel="0" collapsed="false">
      <c r="B4" s="7" t="s">
        <v>79</v>
      </c>
      <c r="C4" s="7"/>
      <c r="D4" s="7"/>
    </row>
    <row r="5" customFormat="false" ht="15" hidden="false" customHeight="false" outlineLevel="0" collapsed="false">
      <c r="B5" s="8" t="s">
        <v>80</v>
      </c>
      <c r="C5" s="9" t="n">
        <v>0.1</v>
      </c>
    </row>
    <row r="6" customFormat="false" ht="15" hidden="false" customHeight="false" outlineLevel="0" collapsed="false">
      <c r="B6" s="8" t="s">
        <v>81</v>
      </c>
      <c r="C6" s="9" t="n">
        <v>0.11</v>
      </c>
    </row>
    <row r="7" customFormat="false" ht="15" hidden="false" customHeight="false" outlineLevel="0" collapsed="false">
      <c r="B7" s="8" t="s">
        <v>82</v>
      </c>
      <c r="C7" s="12" t="n">
        <v>2000</v>
      </c>
    </row>
    <row r="8" customFormat="false" ht="15" hidden="false" customHeight="false" outlineLevel="0" collapsed="false">
      <c r="B8" s="8" t="s">
        <v>42</v>
      </c>
      <c r="C8" s="9" t="n">
        <v>0.05</v>
      </c>
    </row>
    <row r="9" customFormat="false" ht="15" hidden="false" customHeight="false" outlineLevel="0" collapsed="false">
      <c r="B9" s="8" t="s">
        <v>46</v>
      </c>
      <c r="C9" s="11" t="s">
        <v>47</v>
      </c>
    </row>
    <row r="10" customFormat="false" ht="15" hidden="false" customHeight="false" outlineLevel="0" collapsed="false">
      <c r="B10" s="8" t="s">
        <v>60</v>
      </c>
      <c r="C10" s="15" t="n">
        <f aca="false">IF(C9="Two-sided",NORMSINV(1-C8/2),NORMSINV(1-C8))</f>
        <v>1.95996398454005</v>
      </c>
    </row>
    <row r="11" customFormat="false" ht="15" hidden="false" customHeight="false" outlineLevel="0" collapsed="false">
      <c r="B11" s="8" t="s">
        <v>83</v>
      </c>
      <c r="C11" s="21" t="n">
        <f aca="false">NORMSDIST(SQRT(C7)*ABS(C6-C5)/SQRT(C5*(1-C5)+C6*(1-C6))-C10)</f>
        <v>0.176634202854153</v>
      </c>
      <c r="D11" s="10" t="s">
        <v>84</v>
      </c>
    </row>
    <row r="13" customFormat="false" ht="18" hidden="false" customHeight="true" outlineLevel="0" collapsed="false">
      <c r="B13" s="7" t="s">
        <v>85</v>
      </c>
      <c r="C13" s="7"/>
      <c r="D13" s="7"/>
    </row>
    <row r="14" customFormat="false" ht="15" hidden="false" customHeight="false" outlineLevel="0" collapsed="false">
      <c r="B14" s="8" t="s">
        <v>69</v>
      </c>
      <c r="C14" s="18" t="n">
        <v>50</v>
      </c>
    </row>
    <row r="15" customFormat="false" ht="15" hidden="false" customHeight="false" outlineLevel="0" collapsed="false">
      <c r="B15" s="8" t="s">
        <v>86</v>
      </c>
      <c r="C15" s="18" t="n">
        <v>53</v>
      </c>
    </row>
    <row r="16" customFormat="false" ht="15" hidden="false" customHeight="false" outlineLevel="0" collapsed="false">
      <c r="B16" s="8" t="s">
        <v>87</v>
      </c>
      <c r="C16" s="18" t="n">
        <v>15</v>
      </c>
    </row>
    <row r="17" customFormat="false" ht="15" hidden="false" customHeight="false" outlineLevel="0" collapsed="false">
      <c r="B17" s="8" t="s">
        <v>82</v>
      </c>
      <c r="C17" s="12" t="n">
        <v>2000</v>
      </c>
    </row>
    <row r="18" customFormat="false" ht="15" hidden="false" customHeight="false" outlineLevel="0" collapsed="false">
      <c r="B18" s="8" t="s">
        <v>42</v>
      </c>
      <c r="C18" s="9" t="n">
        <v>0.05</v>
      </c>
    </row>
    <row r="19" customFormat="false" ht="15" hidden="false" customHeight="false" outlineLevel="0" collapsed="false">
      <c r="B19" s="8" t="s">
        <v>46</v>
      </c>
      <c r="C19" s="11" t="s">
        <v>47</v>
      </c>
    </row>
    <row r="20" customFormat="false" ht="15" hidden="false" customHeight="false" outlineLevel="0" collapsed="false">
      <c r="B20" s="8" t="s">
        <v>60</v>
      </c>
      <c r="C20" s="15" t="n">
        <f aca="false">IF(C19="Two-sided",NORMSINV(1-C18/2),NORMSINV(1-C18))</f>
        <v>1.95996398454005</v>
      </c>
    </row>
    <row r="21" customFormat="false" ht="15" hidden="false" customHeight="false" outlineLevel="0" collapsed="false">
      <c r="B21" s="8" t="s">
        <v>83</v>
      </c>
      <c r="C21" s="21" t="n">
        <f aca="false">NORMSDIST(SQRT(C17/2)*ABS(C15-C14)/C16-C20)</f>
        <v>0.999993631968596</v>
      </c>
      <c r="D21" s="10" t="s">
        <v>84</v>
      </c>
    </row>
    <row r="23" customFormat="false" ht="18" hidden="false" customHeight="true" outlineLevel="0" collapsed="false">
      <c r="B23" s="7" t="s">
        <v>88</v>
      </c>
      <c r="C23" s="7"/>
      <c r="D23" s="7"/>
    </row>
    <row r="24" customFormat="false" ht="15" hidden="false" customHeight="false" outlineLevel="0" collapsed="false">
      <c r="B24" s="8" t="s">
        <v>80</v>
      </c>
      <c r="C24" s="9" t="n">
        <v>0.1</v>
      </c>
    </row>
    <row r="25" customFormat="false" ht="15" hidden="false" customHeight="false" outlineLevel="0" collapsed="false">
      <c r="B25" s="8" t="s">
        <v>82</v>
      </c>
      <c r="C25" s="12" t="n">
        <v>2000</v>
      </c>
    </row>
    <row r="26" customFormat="false" ht="15" hidden="false" customHeight="false" outlineLevel="0" collapsed="false">
      <c r="B26" s="8" t="s">
        <v>42</v>
      </c>
      <c r="C26" s="9" t="n">
        <v>0.05</v>
      </c>
    </row>
    <row r="27" customFormat="false" ht="15" hidden="false" customHeight="false" outlineLevel="0" collapsed="false">
      <c r="B27" s="8" t="s">
        <v>89</v>
      </c>
      <c r="C27" s="9" t="n">
        <v>0.8</v>
      </c>
    </row>
    <row r="28" customFormat="false" ht="15" hidden="false" customHeight="false" outlineLevel="0" collapsed="false">
      <c r="B28" s="8" t="s">
        <v>46</v>
      </c>
      <c r="C28" s="11" t="s">
        <v>47</v>
      </c>
    </row>
    <row r="29" customFormat="false" ht="15" hidden="false" customHeight="false" outlineLevel="0" collapsed="false">
      <c r="B29" s="8" t="s">
        <v>60</v>
      </c>
      <c r="C29" s="15" t="n">
        <f aca="false">IF(C28="Two-sided",NORMSINV(1-C26/2),NORMSINV(1-C26))</f>
        <v>1.95996398454005</v>
      </c>
    </row>
    <row r="30" customFormat="false" ht="15" hidden="false" customHeight="false" outlineLevel="0" collapsed="false">
      <c r="B30" s="8" t="s">
        <v>61</v>
      </c>
      <c r="C30" s="15" t="n">
        <f aca="false">NORMSINV(C27)</f>
        <v>0.841621233572914</v>
      </c>
    </row>
    <row r="31" customFormat="false" ht="15" hidden="false" customHeight="false" outlineLevel="0" collapsed="false">
      <c r="B31" s="8" t="s">
        <v>90</v>
      </c>
      <c r="C31" s="21" t="n">
        <f aca="false">(C29+C30)*SQRT(2*C24*(1-C24)/C25)</f>
        <v>0.0265781710448898</v>
      </c>
    </row>
    <row r="32" customFormat="false" ht="22.35" hidden="false" customHeight="false" outlineLevel="0" collapsed="false">
      <c r="B32" s="8" t="s">
        <v>91</v>
      </c>
      <c r="C32" s="21" t="n">
        <f aca="false">IFERROR(C31/C24,"—")</f>
        <v>0.265781710448898</v>
      </c>
      <c r="D32" s="10" t="s">
        <v>92</v>
      </c>
    </row>
    <row r="34" customFormat="false" ht="18" hidden="false" customHeight="true" outlineLevel="0" collapsed="false">
      <c r="B34" s="7" t="s">
        <v>93</v>
      </c>
      <c r="C34" s="7"/>
      <c r="D34" s="7"/>
    </row>
    <row r="35" customFormat="false" ht="15" hidden="false" customHeight="false" outlineLevel="0" collapsed="false">
      <c r="B35" s="8" t="s">
        <v>94</v>
      </c>
      <c r="C35" s="18" t="n">
        <v>50</v>
      </c>
    </row>
    <row r="36" customFormat="false" ht="15" hidden="false" customHeight="false" outlineLevel="0" collapsed="false">
      <c r="B36" s="8" t="s">
        <v>87</v>
      </c>
      <c r="C36" s="18" t="n">
        <v>15</v>
      </c>
    </row>
    <row r="37" customFormat="false" ht="15" hidden="false" customHeight="false" outlineLevel="0" collapsed="false">
      <c r="B37" s="8" t="s">
        <v>82</v>
      </c>
      <c r="C37" s="12" t="n">
        <v>2000</v>
      </c>
    </row>
    <row r="38" customFormat="false" ht="15" hidden="false" customHeight="false" outlineLevel="0" collapsed="false">
      <c r="B38" s="8" t="s">
        <v>42</v>
      </c>
      <c r="C38" s="9" t="n">
        <v>0.05</v>
      </c>
    </row>
    <row r="39" customFormat="false" ht="15" hidden="false" customHeight="false" outlineLevel="0" collapsed="false">
      <c r="B39" s="8" t="s">
        <v>89</v>
      </c>
      <c r="C39" s="9" t="n">
        <v>0.8</v>
      </c>
    </row>
    <row r="40" customFormat="false" ht="15" hidden="false" customHeight="false" outlineLevel="0" collapsed="false">
      <c r="B40" s="8" t="s">
        <v>46</v>
      </c>
      <c r="C40" s="11" t="s">
        <v>47</v>
      </c>
    </row>
    <row r="41" customFormat="false" ht="15" hidden="false" customHeight="false" outlineLevel="0" collapsed="false">
      <c r="B41" s="8" t="s">
        <v>60</v>
      </c>
      <c r="C41" s="15" t="n">
        <f aca="false">IF(C40="Two-sided",NORMSINV(1-C38/2),NORMSINV(1-C38))</f>
        <v>1.95996398454005</v>
      </c>
    </row>
    <row r="42" customFormat="false" ht="15" hidden="false" customHeight="false" outlineLevel="0" collapsed="false">
      <c r="B42" s="8" t="s">
        <v>61</v>
      </c>
      <c r="C42" s="15" t="n">
        <f aca="false">NORMSINV(C39)</f>
        <v>0.841621233572914</v>
      </c>
    </row>
    <row r="43" customFormat="false" ht="15" hidden="false" customHeight="false" outlineLevel="0" collapsed="false">
      <c r="B43" s="8" t="s">
        <v>95</v>
      </c>
      <c r="C43" s="22" t="n">
        <f aca="false">(C41+C42)*C36*SQRT(2/C37)</f>
        <v>1.32890855224449</v>
      </c>
    </row>
    <row r="44" customFormat="false" ht="15" hidden="false" customHeight="false" outlineLevel="0" collapsed="false">
      <c r="B44" s="8" t="s">
        <v>91</v>
      </c>
      <c r="C44" s="21" t="n">
        <f aca="false">IFERROR(C43/C35,"—")</f>
        <v>0.0265781710448898</v>
      </c>
    </row>
  </sheetData>
  <mergeCells count="6">
    <mergeCell ref="B1:D1"/>
    <mergeCell ref="B2:D2"/>
    <mergeCell ref="B4:D4"/>
    <mergeCell ref="B13:D13"/>
    <mergeCell ref="B23:D23"/>
    <mergeCell ref="B34:D34"/>
  </mergeCells>
  <conditionalFormatting sqref="C11">
    <cfRule type="cellIs" priority="2" operator="lessThan" aboveAverage="0" equalAverage="0" bottom="0" percent="0" rank="0" text="" dxfId="0">
      <formula>0.8</formula>
    </cfRule>
    <cfRule type="cellIs" priority="3" operator="greaterThanOrEqual" aboveAverage="0" equalAverage="0" bottom="0" percent="0" rank="0" text="" dxfId="1">
      <formula>0.8</formula>
    </cfRule>
  </conditionalFormatting>
  <conditionalFormatting sqref="C21">
    <cfRule type="cellIs" priority="4" operator="lessThan" aboveAverage="0" equalAverage="0" bottom="0" percent="0" rank="0" text="" dxfId="0">
      <formula>0.8</formula>
    </cfRule>
    <cfRule type="cellIs" priority="5" operator="greaterThanOrEqual" aboveAverage="0" equalAverage="0" bottom="0" percent="0" rank="0" text="" dxfId="1">
      <formula>0.8</formula>
    </cfRule>
  </conditionalFormatting>
  <dataValidations count="4">
    <dataValidation allowBlank="false" errorStyle="stop" operator="between" showDropDown="false" showErrorMessage="false" showInputMessage="false" sqref="C9" type="list">
      <formula1>"Two-sided,One-sided"</formula1>
      <formula2>0</formula2>
    </dataValidation>
    <dataValidation allowBlank="false" errorStyle="stop" operator="between" showDropDown="false" showErrorMessage="false" showInputMessage="false" sqref="C19" type="list">
      <formula1>"Two-sided,One-sided"</formula1>
      <formula2>0</formula2>
    </dataValidation>
    <dataValidation allowBlank="false" errorStyle="stop" operator="between" showDropDown="false" showErrorMessage="false" showInputMessage="false" sqref="C28" type="list">
      <formula1>"Two-sided,One-sided"</formula1>
      <formula2>0</formula2>
    </dataValidation>
    <dataValidation allowBlank="false" errorStyle="stop" operator="between" showDropDown="false" showErrorMessage="false" showInputMessage="false" sqref="C40" type="list">
      <formula1>"Two-sided,One-sided"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B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20"/>
  </cols>
  <sheetData>
    <row r="1" customFormat="false" ht="18.55" hidden="false" customHeight="false" outlineLevel="0" collapsed="false">
      <c r="B1" s="5" t="s">
        <v>96</v>
      </c>
      <c r="C1" s="5"/>
      <c r="D1" s="5"/>
      <c r="E1" s="5"/>
      <c r="F1" s="5"/>
    </row>
    <row r="2" customFormat="false" ht="15" hidden="false" customHeight="false" outlineLevel="0" collapsed="false">
      <c r="B2" s="6" t="s">
        <v>97</v>
      </c>
      <c r="C2" s="6"/>
      <c r="D2" s="6"/>
      <c r="E2" s="6"/>
      <c r="F2" s="6"/>
    </row>
    <row r="4" customFormat="false" ht="15" hidden="false" customHeight="false" outlineLevel="0" collapsed="false">
      <c r="B4" s="23" t="s">
        <v>34</v>
      </c>
      <c r="C4" s="23"/>
      <c r="D4" s="23"/>
      <c r="E4" s="23"/>
      <c r="F4" s="23"/>
    </row>
    <row r="5" customFormat="false" ht="15" hidden="false" customHeight="false" outlineLevel="0" collapsed="false">
      <c r="B5" s="8" t="s">
        <v>98</v>
      </c>
      <c r="C5" s="12" t="n">
        <v>2</v>
      </c>
    </row>
    <row r="6" customFormat="false" ht="43.25" hidden="false" customHeight="false" outlineLevel="0" collapsed="false">
      <c r="B6" s="8" t="s">
        <v>99</v>
      </c>
      <c r="C6" s="24" t="n">
        <v>0.01</v>
      </c>
      <c r="E6" s="10" t="s">
        <v>100</v>
      </c>
    </row>
    <row r="8" customFormat="false" ht="15" hidden="false" customHeight="false" outlineLevel="0" collapsed="false">
      <c r="B8" s="25" t="s">
        <v>101</v>
      </c>
      <c r="C8" s="25" t="s">
        <v>102</v>
      </c>
      <c r="D8" s="25" t="s">
        <v>103</v>
      </c>
      <c r="E8" s="25" t="s">
        <v>104</v>
      </c>
      <c r="F8" s="25" t="s">
        <v>105</v>
      </c>
    </row>
    <row r="9" customFormat="false" ht="15" hidden="false" customHeight="false" outlineLevel="0" collapsed="false">
      <c r="B9" s="26" t="s">
        <v>106</v>
      </c>
      <c r="C9" s="12" t="n">
        <v>50</v>
      </c>
      <c r="D9" s="12" t="n">
        <v>5000</v>
      </c>
      <c r="E9" s="27" t="n">
        <f aca="false">IFERROR(SUM($D$9:$D$13)*C9/SUM($C$9:$C$13),0)</f>
        <v>4925</v>
      </c>
      <c r="F9" s="28" t="n">
        <f aca="false">IF(E9&gt;0,(D9-E9)^2/E9,0)</f>
        <v>1.14213197969543</v>
      </c>
    </row>
    <row r="10" customFormat="false" ht="15" hidden="false" customHeight="false" outlineLevel="0" collapsed="false">
      <c r="B10" s="26" t="s">
        <v>107</v>
      </c>
      <c r="C10" s="12" t="n">
        <v>50</v>
      </c>
      <c r="D10" s="12" t="n">
        <v>4850</v>
      </c>
      <c r="E10" s="27" t="n">
        <f aca="false">IFERROR(SUM($D$9:$D$13)*C10/SUM($C$9:$C$13),0)</f>
        <v>4925</v>
      </c>
      <c r="F10" s="28" t="n">
        <f aca="false">IF(E10&gt;0,(D10-E10)^2/E10,0)</f>
        <v>1.14213197969543</v>
      </c>
    </row>
    <row r="11" customFormat="false" ht="15" hidden="false" customHeight="false" outlineLevel="0" collapsed="false">
      <c r="B11" s="26"/>
      <c r="C11" s="12" t="n">
        <v>0</v>
      </c>
      <c r="D11" s="12" t="n">
        <v>0</v>
      </c>
      <c r="E11" s="27" t="n">
        <f aca="false">IFERROR(SUM($D$9:$D$13)*C11/SUM($C$9:$C$13),0)</f>
        <v>0</v>
      </c>
      <c r="F11" s="28" t="n">
        <f aca="false">IF(E11&gt;0,(D11-E11)^2/E11,0)</f>
        <v>0</v>
      </c>
    </row>
    <row r="12" customFormat="false" ht="15" hidden="false" customHeight="false" outlineLevel="0" collapsed="false">
      <c r="B12" s="26"/>
      <c r="C12" s="12" t="n">
        <v>0</v>
      </c>
      <c r="D12" s="12" t="n">
        <v>0</v>
      </c>
      <c r="E12" s="27" t="n">
        <f aca="false">IFERROR(SUM($D$9:$D$13)*C12/SUM($C$9:$C$13),0)</f>
        <v>0</v>
      </c>
      <c r="F12" s="28" t="n">
        <f aca="false">IF(E12&gt;0,(D12-E12)^2/E12,0)</f>
        <v>0</v>
      </c>
    </row>
    <row r="13" customFormat="false" ht="15" hidden="false" customHeight="false" outlineLevel="0" collapsed="false">
      <c r="B13" s="26"/>
      <c r="C13" s="12" t="n">
        <v>0</v>
      </c>
      <c r="D13" s="12" t="n">
        <v>0</v>
      </c>
      <c r="E13" s="27" t="n">
        <f aca="false">IFERROR(SUM($D$9:$D$13)*C13/SUM($C$9:$C$13),0)</f>
        <v>0</v>
      </c>
      <c r="F13" s="28" t="n">
        <f aca="false">IF(E13&gt;0,(D13-E13)^2/E13,0)</f>
        <v>0</v>
      </c>
    </row>
    <row r="15" customFormat="false" ht="15" hidden="false" customHeight="false" outlineLevel="0" collapsed="false">
      <c r="B15" s="8" t="s">
        <v>108</v>
      </c>
      <c r="C15" s="29" t="n">
        <f aca="false">SUM(D9:D13)</f>
        <v>9850</v>
      </c>
    </row>
    <row r="16" customFormat="false" ht="15" hidden="false" customHeight="false" outlineLevel="0" collapsed="false">
      <c r="B16" s="8" t="s">
        <v>109</v>
      </c>
      <c r="C16" s="28" t="n">
        <f aca="false">SUM(F9:F13)</f>
        <v>2.28426395939086</v>
      </c>
    </row>
    <row r="17" customFormat="false" ht="15" hidden="false" customHeight="false" outlineLevel="0" collapsed="false">
      <c r="B17" s="8" t="s">
        <v>110</v>
      </c>
      <c r="C17" s="29" t="n">
        <f aca="false">C5-1</f>
        <v>1</v>
      </c>
    </row>
    <row r="18" customFormat="false" ht="15" hidden="false" customHeight="false" outlineLevel="0" collapsed="false">
      <c r="B18" s="8" t="s">
        <v>111</v>
      </c>
      <c r="C18" s="28" t="n">
        <f aca="false">IFERROR(CHIDIST(C16,C17),"—")</f>
        <v>0.130692129081643</v>
      </c>
    </row>
    <row r="19" customFormat="false" ht="15" hidden="false" customHeight="false" outlineLevel="0" collapsed="false">
      <c r="B19" s="8" t="s">
        <v>112</v>
      </c>
      <c r="C19" s="30" t="str">
        <f aca="false">IF(C18&lt;C6,"SRM DETECTED - investigate before trusting results","No SRM detected - group sizes match expected ratio")</f>
        <v>No SRM detected - group sizes match expected ratio</v>
      </c>
      <c r="D19" s="30"/>
      <c r="E19" s="30"/>
      <c r="F19" s="30"/>
    </row>
    <row r="21" customFormat="false" ht="15" hidden="false" customHeight="false" outlineLevel="0" collapsed="false">
      <c r="B21" s="23" t="s">
        <v>65</v>
      </c>
      <c r="C21" s="23"/>
      <c r="D21" s="23"/>
      <c r="E21" s="23"/>
      <c r="F21" s="23"/>
    </row>
    <row r="22" customFormat="false" ht="27.75" hidden="false" customHeight="true" outlineLevel="0" collapsed="false">
      <c r="B22" s="17" t="s">
        <v>113</v>
      </c>
      <c r="C22" s="17"/>
      <c r="D22" s="17"/>
      <c r="E22" s="17"/>
      <c r="F22" s="17"/>
    </row>
    <row r="23" customFormat="false" ht="27.75" hidden="false" customHeight="true" outlineLevel="0" collapsed="false">
      <c r="B23" s="17" t="s">
        <v>114</v>
      </c>
      <c r="C23" s="17"/>
      <c r="D23" s="17"/>
      <c r="E23" s="17"/>
      <c r="F23" s="17"/>
    </row>
    <row r="24" customFormat="false" ht="27.75" hidden="false" customHeight="true" outlineLevel="0" collapsed="false">
      <c r="B24" s="17" t="s">
        <v>115</v>
      </c>
      <c r="C24" s="17"/>
      <c r="D24" s="17"/>
      <c r="E24" s="17"/>
      <c r="F24" s="17"/>
    </row>
  </sheetData>
  <mergeCells count="8">
    <mergeCell ref="B1:F1"/>
    <mergeCell ref="B2:F2"/>
    <mergeCell ref="B4:F4"/>
    <mergeCell ref="C19:F19"/>
    <mergeCell ref="B21:F21"/>
    <mergeCell ref="B22:F22"/>
    <mergeCell ref="B23:F23"/>
    <mergeCell ref="B24:F24"/>
  </mergeCells>
  <conditionalFormatting sqref="C19">
    <cfRule type="expression" priority="2" aboveAverage="0" equalAverage="0" bottom="0" percent="0" rank="0" text="" dxfId="1">
      <formula>ISNUMBER(SEARCH("No SRM",C19))</formula>
    </cfRule>
    <cfRule type="expression" priority="3" aboveAverage="0" equalAverage="0" bottom="0" percent="0" rank="0" text="" dxfId="0">
      <formula>ISERROR(SEARCH("No SRM",C19))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2026-09-22T03:50:39Z</dcterms:created>
  <dc:creator>openpyxl</dc:creator>
  <dc:description/>
  <dc:language>en-US</dc:language>
  <cp:lastModifiedBy/>
  <dcterms:modified xsi:type="dcterms:W3CDTF">2026-09-22T03:50:39Z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