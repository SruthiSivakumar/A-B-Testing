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Plan Test" sheetId="2" state="visible" r:id="rId4"/>
    <sheet name="Check Resul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<sst xmlns="http://schemas.openxmlformats.org/spreadsheetml/2006/main" count="128" uniqueCount="126">
  <si>
    <t xml:space="preserve">A/B Test Planner</t>
  </si>
  <si>
    <t xml:space="preserve">Plan an experiment, then check how it went. No statistics knowledge needed.</t>
  </si>
  <si>
    <t xml:space="preserve">What this workbook does</t>
  </si>
  <si>
    <t xml:space="preserve">Before the test: it tells you how many customers you need, how many days to run the test, and whether your plan is big enough.</t>
  </si>
  <si>
    <t xml:space="preserve">After the test: it checks that customers were split the way you intended, then tells you whether the new version won.</t>
  </si>
  <si>
    <t xml:space="preserve">How to use it</t>
  </si>
  <si>
    <t xml:space="preserve">1.  Open the Plan Test tab. Fill in the yellow cells. Read the green results and the verdict.</t>
  </si>
  <si>
    <t xml:space="preserve">2.  Run your test.</t>
  </si>
  <si>
    <t xml:space="preserve">3.  Open the Check Results tab. Fill in the yellow cells with what happened. Read the two verdicts.</t>
  </si>
  <si>
    <t xml:space="preserve">Words used in this workbook</t>
  </si>
  <si>
    <t xml:space="preserve">Control: the customers who keep the current version.</t>
  </si>
  <si>
    <t xml:space="preserve">Treatment: the customers who get the new version.</t>
  </si>
  <si>
    <t xml:space="preserve">Conversion rate: the share of customers who do the thing you care about, such as buying. 5 out of 100 customers is 5%.</t>
  </si>
  <si>
    <t xml:space="preserve">Average value: a number per customer, such as revenue per customer or minutes on site.</t>
  </si>
  <si>
    <t xml:space="preserve">Split check (also called SRM): confirms the right share of customers ended up in each group. If it fails, the test result cannot be trusted.</t>
  </si>
  <si>
    <t xml:space="preserve">Power: the chance your test spots a real improvement. 80% is the usual target and is already set for you.</t>
  </si>
  <si>
    <t xml:space="preserve">Confidence: how sure you want to be that a win is not luck. 95% is the usual level and is already set for you.</t>
  </si>
  <si>
    <t xml:space="preserve">Good habits</t>
  </si>
  <si>
    <t xml:space="preserve">Run the test for whole weeks. Customers behave differently on weekdays and weekends.</t>
  </si>
  <si>
    <t xml:space="preserve">Do not stop the test early because the result looks good. Stopping early makes false wins more likely.</t>
  </si>
  <si>
    <t xml:space="preserve">Pick the smallest improvement worth detecting before the test starts. Smaller improvements need longer tests.</t>
  </si>
  <si>
    <t xml:space="preserve">Cell colors</t>
  </si>
  <si>
    <t xml:space="preserve">Yellow cell with blue text: type here.</t>
  </si>
  <si>
    <t xml:space="preserve">Green cell: an answer to read.</t>
  </si>
  <si>
    <t xml:space="preserve">White cell: a calculation. You do not need to touch it.</t>
  </si>
  <si>
    <t xml:space="preserve">Limits</t>
  </si>
  <si>
    <t xml:space="preserve">The workbook assumes each customer is randomly placed in one group on their own.</t>
  </si>
  <si>
    <t xml:space="preserve">It is a rough guide for very low conversion rates (under 1%) and for small tests.</t>
  </si>
  <si>
    <t xml:space="preserve">It does not cover tests on whole stores, cities, or regions.</t>
  </si>
  <si>
    <t xml:space="preserve">For average values (revenue per customer and similar) you need the standard deviation. Ask an analyst or pull it from past data.</t>
  </si>
  <si>
    <t xml:space="preserve">Plan Test (before the test starts)</t>
  </si>
  <si>
    <t xml:space="preserve">Fill in the yellow cells. The answers appear in the green cells.</t>
  </si>
  <si>
    <t xml:space="preserve">A.  What are you measuring?</t>
  </si>
  <si>
    <t xml:space="preserve">Metric type</t>
  </si>
  <si>
    <t xml:space="preserve">Conversion rate (%)</t>
  </si>
  <si>
    <t xml:space="preserve">Pick one. Conversion rate: share of customers who buy, click, sign up. Average value: revenue per customer and similar.</t>
  </si>
  <si>
    <t xml:space="preserve">Current conversion rate (only if you picked Conversion rate)</t>
  </si>
  <si>
    <t xml:space="preserve">Today's rate before any change. 5% means 5 in every 100 customers.</t>
  </si>
  <si>
    <t xml:space="preserve">Current average value (only if you picked Average value)</t>
  </si>
  <si>
    <t xml:space="preserve">Today's average per customer before any change.</t>
  </si>
  <si>
    <t xml:space="preserve">Spread of that average value (only if you picked Average value)</t>
  </si>
  <si>
    <t xml:space="preserve">This is the standard deviation across customers. Ask an analyst or pull it from past data. Without it the answer is a guess.</t>
  </si>
  <si>
    <t xml:space="preserve">Smallest improvement worth detecting</t>
  </si>
  <si>
    <t xml:space="preserve">10% means a 5.0% conversion rate rising to 5.5%, or an average of 50 rising to 55. Smaller improvements need longer tests.</t>
  </si>
  <si>
    <t xml:space="preserve">B.  About your test</t>
  </si>
  <si>
    <t xml:space="preserve">Share of customers sent to Control</t>
  </si>
  <si>
    <t xml:space="preserve">Use any two numbers that show the split. 50 and 50 is an even split. 90 and 10 sends 90% to Control.</t>
  </si>
  <si>
    <t xml:space="preserve">Share of customers sent to Treatment</t>
  </si>
  <si>
    <t xml:space="preserve">An even split gives the shortest test.</t>
  </si>
  <si>
    <t xml:space="preserve">Customers entering the test per day (both groups together)</t>
  </si>
  <si>
    <t xml:space="preserve">Count only customers who would be eligible for the test.</t>
  </si>
  <si>
    <t xml:space="preserve">Days you plan to run the test</t>
  </si>
  <si>
    <t xml:space="preserve">Use whole weeks (7, 14, 21 and so on).</t>
  </si>
  <si>
    <t xml:space="preserve">C.  Settings (leave these alone if unsure)</t>
  </si>
  <si>
    <t xml:space="preserve">Confidence level</t>
  </si>
  <si>
    <t xml:space="preserve">How sure you want to be that a win is not luck. 95% is standard.</t>
  </si>
  <si>
    <t xml:space="preserve">Power</t>
  </si>
  <si>
    <t xml:space="preserve">The chance of spotting a real improvement. 80% is standard. Use 90% if a missed win would be costly.</t>
  </si>
  <si>
    <t xml:space="preserve">Split-check alert level</t>
  </si>
  <si>
    <t xml:space="preserve">Used on the Check Results tab. 0.01 is standard.</t>
  </si>
  <si>
    <t xml:space="preserve">RESULT 1:  How big does the test need to be?</t>
  </si>
  <si>
    <t xml:space="preserve">Customers needed in Control</t>
  </si>
  <si>
    <t xml:space="preserve">Customers needed in Treatment</t>
  </si>
  <si>
    <t xml:space="preserve">Total customers needed</t>
  </si>
  <si>
    <t xml:space="preserve">Days needed at your daily traffic</t>
  </si>
  <si>
    <t xml:space="preserve">Recommended run time (days, whole weeks)</t>
  </si>
  <si>
    <t xml:space="preserve">Days needed, rounded up to whole weeks, with a minimum of 7 days.</t>
  </si>
  <si>
    <t xml:space="preserve">RESULT 2:  Is your planned test big enough?</t>
  </si>
  <si>
    <t xml:space="preserve">Control customers you will get in your planned days</t>
  </si>
  <si>
    <t xml:space="preserve">Treatment customers you will get in your planned days</t>
  </si>
  <si>
    <t xml:space="preserve">Chance of spotting the improvement (power)</t>
  </si>
  <si>
    <t xml:space="preserve">Aim for the power level in the settings above (80% by default).</t>
  </si>
  <si>
    <t xml:space="preserve">Smallest improvement you can reliably spot with your planned days</t>
  </si>
  <si>
    <t xml:space="preserve">Verdict</t>
  </si>
  <si>
    <t xml:space="preserve">Workings (no need to touch)</t>
  </si>
  <si>
    <t xml:space="preserve">Treatment-to-control size ratio</t>
  </si>
  <si>
    <t xml:space="preserve">Value before the test</t>
  </si>
  <si>
    <t xml:space="preserve">Value after the improvement</t>
  </si>
  <si>
    <t xml:space="preserve">Difference to detect</t>
  </si>
  <si>
    <t xml:space="preserve">z for confidence (two-sided)</t>
  </si>
  <si>
    <t xml:space="preserve">z for power</t>
  </si>
  <si>
    <t xml:space="preserve">Control customers per day</t>
  </si>
  <si>
    <t xml:space="preserve">Treatment customers per day</t>
  </si>
  <si>
    <t xml:space="preserve">Variance factor</t>
  </si>
  <si>
    <t xml:space="preserve">Sample size = (z confidence + z power)^2 x variance factor / difference^2</t>
  </si>
  <si>
    <t xml:space="preserve">Check Results (after the test ends)</t>
  </si>
  <si>
    <t xml:space="preserve">Fill in the yellow cells with what happened. The metric type and planned split come from the Plan Test tab.</t>
  </si>
  <si>
    <t xml:space="preserve">A.  What happened in the test</t>
  </si>
  <si>
    <t xml:space="preserve">Customers in Control group</t>
  </si>
  <si>
    <t xml:space="preserve">Actual number of customers who ended up in Control.</t>
  </si>
  <si>
    <t xml:space="preserve">Customers in Treatment group</t>
  </si>
  <si>
    <t xml:space="preserve">Control conversion rate after the test (only for Conversion rate)</t>
  </si>
  <si>
    <t xml:space="preserve">Treatment conversion rate after the test (only for Conversion rate)</t>
  </si>
  <si>
    <t xml:space="preserve">Control average value after the test (only for Average value)</t>
  </si>
  <si>
    <t xml:space="preserve">Treatment average value after the test (only for Average value)</t>
  </si>
  <si>
    <t xml:space="preserve">Metric type (from Plan Test)</t>
  </si>
  <si>
    <t xml:space="preserve">Planned split, Control : Treatment (from Plan Test)</t>
  </si>
  <si>
    <t xml:space="preserve">Value before the test (from Plan Test)</t>
  </si>
  <si>
    <t xml:space="preserve">STEP 1:  Was the traffic split correct? (split check)</t>
  </si>
  <si>
    <t xml:space="preserve">Planned share in Control</t>
  </si>
  <si>
    <t xml:space="preserve">Actual share in Control</t>
  </si>
  <si>
    <t xml:space="preserve">Customers you should have seen in Control</t>
  </si>
  <si>
    <t xml:space="preserve">Customers you should have seen in Treatment</t>
  </si>
  <si>
    <t xml:space="preserve">Chi-square statistic</t>
  </si>
  <si>
    <t xml:space="preserve">Chance the gap is just luck (p-value)</t>
  </si>
  <si>
    <t xml:space="preserve">A very small number means the split was not random.</t>
  </si>
  <si>
    <t xml:space="preserve">Split check result</t>
  </si>
  <si>
    <t xml:space="preserve">STEP 2:  Did the Treatment beat the Control?</t>
  </si>
  <si>
    <t xml:space="preserve">Control result</t>
  </si>
  <si>
    <t xml:space="preserve">Treatment result</t>
  </si>
  <si>
    <t xml:space="preserve">Change vs Control</t>
  </si>
  <si>
    <t xml:space="preserve">Relative change. +10% means Treatment is 10% higher than Control.</t>
  </si>
  <si>
    <t xml:space="preserve">Likely range of the real change</t>
  </si>
  <si>
    <t xml:space="preserve">The true change is very likely inside this range. If it crosses zero, the result is not clear.</t>
  </si>
  <si>
    <t xml:space="preserve">Chance the difference is just luck (p-value)</t>
  </si>
  <si>
    <t xml:space="preserve">Below 5% (at 95% confidence) means the difference is unlikely to be luck.</t>
  </si>
  <si>
    <t xml:space="preserve">Smallest change this test could reliably spot</t>
  </si>
  <si>
    <t xml:space="preserve">Control value</t>
  </si>
  <si>
    <t xml:space="preserve">Treatment value</t>
  </si>
  <si>
    <t xml:space="preserve">Difference</t>
  </si>
  <si>
    <t xml:space="preserve">Standard error</t>
  </si>
  <si>
    <t xml:space="preserve">z statistic</t>
  </si>
  <si>
    <t xml:space="preserve">p-value (two-sided)</t>
  </si>
  <si>
    <t xml:space="preserve">z for confidence</t>
  </si>
  <si>
    <t xml:space="preserve">Low end of the difference</t>
  </si>
  <si>
    <t xml:space="preserve">High end of the difference</t>
  </si>
</sst>
</file>

<file path=xl/styles.xml><?xml version="1.0" encoding="utf-8"?>
<styleSheet xmlns="http://schemas.openxmlformats.org/spreadsheetml/2006/main">
  <numFmts count="13">
    <numFmt numFmtId="164" formatCode="General"/>
    <numFmt numFmtId="165" formatCode="0.00%"/>
    <numFmt numFmtId="166" formatCode="#,##0.00"/>
    <numFmt numFmtId="167" formatCode="0.0%"/>
    <numFmt numFmtId="168" formatCode="0.##"/>
    <numFmt numFmtId="169" formatCode="#,##0"/>
    <numFmt numFmtId="170" formatCode="0%"/>
    <numFmt numFmtId="171" formatCode="0.000"/>
    <numFmt numFmtId="172" formatCode="0.00"/>
    <numFmt numFmtId="173" formatCode="0.0000"/>
    <numFmt numFmtId="174" formatCode="#,##0.0"/>
    <numFmt numFmtId="175" formatCode="\+0.0%;\-0.0%;0.0%"/>
    <numFmt numFmtId="176" formatCode="0.00000"/>
  </numFmts>
  <fonts count="12">
    <font>
      <sz val="11"/>
      <color theme="1"/>
      <name val="Calibri"/>
      <family val="2"/>
      <charset val="1"/>
    </font>
    <font>
      <sz val="10"/>
      <name val="Arial"/>
      <family val="0"/>
    </font>
    <font>
      <sz val="10"/>
      <name val="Arial"/>
      <family val="0"/>
    </font>
    <font>
      <sz val="10"/>
      <name val="Arial"/>
      <family val="0"/>
    </font>
    <font>
      <b val="true"/>
      <sz val="18"/>
      <color rgb="FF1F4E78"/>
      <name val="Arial"/>
      <family val="0"/>
      <charset val="1"/>
    </font>
    <font>
      <i val="true"/>
      <sz val="10"/>
      <color rgb="FF7F7F7F"/>
      <name val="Arial"/>
      <family val="0"/>
      <charset val="1"/>
    </font>
    <font>
      <b val="true"/>
      <sz val="11"/>
      <color rgb="FFFFFFFF"/>
      <name val="Arial"/>
      <family val="0"/>
      <charset val="1"/>
    </font>
    <font>
      <sz val="10"/>
      <color rgb="FF000000"/>
      <name val="Arial"/>
      <family val="0"/>
      <charset val="1"/>
    </font>
    <font>
      <b val="true"/>
      <sz val="16"/>
      <color rgb="FF1F4E78"/>
      <name val="Arial"/>
      <family val="0"/>
      <charset val="1"/>
    </font>
    <font>
      <sz val="10"/>
      <color rgb="FF0000FF"/>
      <name val="Arial"/>
      <family val="0"/>
      <charset val="1"/>
    </font>
    <font>
      <i val="true"/>
      <sz val="9"/>
      <color rgb="FF7F7F7F"/>
      <name val="Arial"/>
      <family val="0"/>
      <charset val="1"/>
    </font>
    <font>
      <b val="true"/>
      <sz val="10"/>
      <color rgb="FF00000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CE4E4"/>
      </patternFill>
    </fill>
    <fill>
      <patternFill patternType="solid">
        <fgColor rgb="FFE2EFDA"/>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1"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general" vertical="center" textRotation="0" wrapText="false" indent="1"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5" fontId="9" fillId="3" borderId="1" xfId="0" applyFont="true" applyBorder="true" applyAlignment="true" applyProtection="false">
      <alignment horizontal="center" vertical="center" textRotation="0" wrapText="false" indent="0" shrinkToFit="false"/>
      <protection locked="true" hidden="false"/>
    </xf>
    <xf numFmtId="166" fontId="9" fillId="3" borderId="1" xfId="0" applyFont="true" applyBorder="true" applyAlignment="true" applyProtection="false">
      <alignment horizontal="center" vertical="center" textRotation="0" wrapText="false" indent="0" shrinkToFit="false"/>
      <protection locked="true" hidden="false"/>
    </xf>
    <xf numFmtId="167" fontId="9" fillId="3" borderId="1" xfId="0" applyFont="true" applyBorder="true" applyAlignment="true" applyProtection="false">
      <alignment horizontal="center" vertical="center" textRotation="0" wrapText="false" indent="0" shrinkToFit="false"/>
      <protection locked="true" hidden="false"/>
    </xf>
    <xf numFmtId="168" fontId="9" fillId="3" borderId="1" xfId="0" applyFont="true" applyBorder="true" applyAlignment="true" applyProtection="false">
      <alignment horizontal="center" vertical="center" textRotation="0" wrapText="false" indent="0" shrinkToFit="false"/>
      <protection locked="true" hidden="false"/>
    </xf>
    <xf numFmtId="169" fontId="9" fillId="3" borderId="1" xfId="0" applyFont="true" applyBorder="true" applyAlignment="true" applyProtection="false">
      <alignment horizontal="center" vertical="center" textRotation="0" wrapText="false" indent="0" shrinkToFit="false"/>
      <protection locked="true" hidden="false"/>
    </xf>
    <xf numFmtId="170" fontId="9" fillId="3" borderId="1" xfId="0" applyFont="true" applyBorder="true" applyAlignment="true" applyProtection="false">
      <alignment horizontal="center" vertical="center" textRotation="0" wrapText="false" indent="0" shrinkToFit="false"/>
      <protection locked="true" hidden="false"/>
    </xf>
    <xf numFmtId="171" fontId="9" fillId="3" borderId="1" xfId="0" applyFont="true" applyBorder="true" applyAlignment="true" applyProtection="false">
      <alignment horizontal="center" vertical="center" textRotation="0" wrapText="false" indent="0" shrinkToFit="false"/>
      <protection locked="true" hidden="false"/>
    </xf>
    <xf numFmtId="169" fontId="11" fillId="4" borderId="1" xfId="0" applyFont="true" applyBorder="true" applyAlignment="true" applyProtection="false">
      <alignment horizontal="center" vertical="center" textRotation="0" wrapText="false" indent="0" shrinkToFit="false"/>
      <protection locked="true" hidden="false"/>
    </xf>
    <xf numFmtId="170" fontId="11" fillId="4" borderId="1" xfId="0" applyFont="true" applyBorder="true" applyAlignment="true" applyProtection="false">
      <alignment horizontal="center" vertical="center" textRotation="0" wrapText="false" indent="0" shrinkToFit="false"/>
      <protection locked="true" hidden="false"/>
    </xf>
    <xf numFmtId="167" fontId="11" fillId="4" borderId="1"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true" applyProtection="false">
      <alignment horizontal="general" vertical="center" textRotation="0" wrapText="true" indent="1" shrinkToFit="false"/>
      <protection locked="true" hidden="false"/>
    </xf>
    <xf numFmtId="172" fontId="7" fillId="0" borderId="1" xfId="0" applyFont="true" applyBorder="true" applyAlignment="true" applyProtection="false">
      <alignment horizontal="center" vertical="bottom" textRotation="0" wrapText="false" indent="0" shrinkToFit="false"/>
      <protection locked="true" hidden="false"/>
    </xf>
    <xf numFmtId="173" fontId="7" fillId="0" borderId="1" xfId="0" applyFont="true" applyBorder="true" applyAlignment="true" applyProtection="false">
      <alignment horizontal="center" vertical="bottom" textRotation="0" wrapText="false" indent="0" shrinkToFit="false"/>
      <protection locked="true" hidden="false"/>
    </xf>
    <xf numFmtId="171" fontId="7" fillId="0" borderId="1" xfId="0" applyFont="true" applyBorder="true" applyAlignment="true" applyProtection="false">
      <alignment horizontal="center" vertical="bottom" textRotation="0" wrapText="false" indent="0" shrinkToFit="false"/>
      <protection locked="true" hidden="false"/>
    </xf>
    <xf numFmtId="174" fontId="7"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9" fontId="11" fillId="0" borderId="1" xfId="0" applyFont="true" applyBorder="true" applyAlignment="true" applyProtection="false">
      <alignment horizontal="center" vertical="center" textRotation="0" wrapText="false" indent="0" shrinkToFit="false"/>
      <protection locked="true" hidden="false"/>
    </xf>
    <xf numFmtId="171" fontId="11" fillId="0" borderId="1" xfId="0" applyFont="true" applyBorder="true" applyAlignment="true" applyProtection="false">
      <alignment horizontal="center" vertical="center" textRotation="0" wrapText="false" indent="0" shrinkToFit="false"/>
      <protection locked="true" hidden="false"/>
    </xf>
    <xf numFmtId="173" fontId="11" fillId="0" borderId="1" xfId="0" applyFont="true" applyBorder="true" applyAlignment="true" applyProtection="false">
      <alignment horizontal="center" vertical="center" textRotation="0" wrapText="false" indent="0" shrinkToFit="false"/>
      <protection locked="true" hidden="false"/>
    </xf>
    <xf numFmtId="175" fontId="11" fillId="4" borderId="1" xfId="0" applyFont="true" applyBorder="true" applyAlignment="true" applyProtection="false">
      <alignment horizontal="center" vertical="center" textRotation="0" wrapText="false" indent="0" shrinkToFit="false"/>
      <protection locked="true" hidden="false"/>
    </xf>
    <xf numFmtId="176" fontId="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2EFDA"/>
        </patternFill>
      </fill>
    </dxf>
    <dxf>
      <fill>
        <patternFill>
          <bgColor rgb="FFFCE4E4"/>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B1: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0"/>
  </cols>
  <sheetData>
    <row r="1" customFormat="false" ht="22.05" hidden="false" customHeight="false" outlineLevel="0" collapsed="false">
      <c r="B1" s="1" t="s">
        <v>0</v>
      </c>
    </row>
    <row r="2" customFormat="false" ht="15" hidden="false" customHeight="false" outlineLevel="0" collapsed="false">
      <c r="B2" s="2" t="s">
        <v>1</v>
      </c>
    </row>
    <row r="4" customFormat="false" ht="19.5" hidden="false" customHeight="true" outlineLevel="0" collapsed="false">
      <c r="B4" s="3" t="s">
        <v>2</v>
      </c>
    </row>
    <row r="5" customFormat="false" ht="15" hidden="false" customHeight="false" outlineLevel="0" collapsed="false">
      <c r="B5" s="4" t="s">
        <v>3</v>
      </c>
    </row>
    <row r="6" customFormat="false" ht="15" hidden="false" customHeight="false" outlineLevel="0" collapsed="false">
      <c r="B6" s="4" t="s">
        <v>4</v>
      </c>
    </row>
    <row r="8" customFormat="false" ht="19.5" hidden="false" customHeight="true" outlineLevel="0" collapsed="false">
      <c r="B8" s="3" t="s">
        <v>5</v>
      </c>
    </row>
    <row r="9" customFormat="false" ht="15" hidden="false" customHeight="false" outlineLevel="0" collapsed="false">
      <c r="B9" s="4" t="s">
        <v>6</v>
      </c>
    </row>
    <row r="10" customFormat="false" ht="15" hidden="false" customHeight="false" outlineLevel="0" collapsed="false">
      <c r="B10" s="4" t="s">
        <v>7</v>
      </c>
    </row>
    <row r="11" customFormat="false" ht="15" hidden="false" customHeight="false" outlineLevel="0" collapsed="false">
      <c r="B11" s="4" t="s">
        <v>8</v>
      </c>
    </row>
    <row r="13" customFormat="false" ht="19.5" hidden="false" customHeight="true" outlineLevel="0" collapsed="false">
      <c r="B13" s="3" t="s">
        <v>9</v>
      </c>
    </row>
    <row r="14" customFormat="false" ht="15" hidden="false" customHeight="false" outlineLevel="0" collapsed="false">
      <c r="B14" s="4" t="s">
        <v>10</v>
      </c>
    </row>
    <row r="15" customFormat="false" ht="15" hidden="false" customHeight="false" outlineLevel="0" collapsed="false">
      <c r="B15" s="4" t="s">
        <v>11</v>
      </c>
    </row>
    <row r="16" customFormat="false" ht="15" hidden="false" customHeight="false" outlineLevel="0" collapsed="false">
      <c r="B16" s="4" t="s">
        <v>12</v>
      </c>
    </row>
    <row r="17" customFormat="false" ht="15" hidden="false" customHeight="false" outlineLevel="0" collapsed="false">
      <c r="B17" s="4" t="s">
        <v>13</v>
      </c>
    </row>
    <row r="18" customFormat="false" ht="15" hidden="false" customHeight="false" outlineLevel="0" collapsed="false">
      <c r="B18" s="4" t="s">
        <v>14</v>
      </c>
    </row>
    <row r="19" customFormat="false" ht="15" hidden="false" customHeight="false" outlineLevel="0" collapsed="false">
      <c r="B19" s="4" t="s">
        <v>15</v>
      </c>
    </row>
    <row r="20" customFormat="false" ht="15" hidden="false" customHeight="false" outlineLevel="0" collapsed="false">
      <c r="B20" s="4" t="s">
        <v>16</v>
      </c>
    </row>
    <row r="22" customFormat="false" ht="19.5" hidden="false" customHeight="true" outlineLevel="0" collapsed="false">
      <c r="B22" s="3" t="s">
        <v>17</v>
      </c>
    </row>
    <row r="23" customFormat="false" ht="15" hidden="false" customHeight="false" outlineLevel="0" collapsed="false">
      <c r="B23" s="4" t="s">
        <v>18</v>
      </c>
    </row>
    <row r="24" customFormat="false" ht="15" hidden="false" customHeight="false" outlineLevel="0" collapsed="false">
      <c r="B24" s="4" t="s">
        <v>19</v>
      </c>
    </row>
    <row r="25" customFormat="false" ht="15" hidden="false" customHeight="false" outlineLevel="0" collapsed="false">
      <c r="B25" s="4" t="s">
        <v>20</v>
      </c>
    </row>
    <row r="27" customFormat="false" ht="19.5" hidden="false" customHeight="true" outlineLevel="0" collapsed="false">
      <c r="B27" s="3" t="s">
        <v>21</v>
      </c>
    </row>
    <row r="28" customFormat="false" ht="15" hidden="false" customHeight="false" outlineLevel="0" collapsed="false">
      <c r="B28" s="4" t="s">
        <v>22</v>
      </c>
    </row>
    <row r="29" customFormat="false" ht="15" hidden="false" customHeight="false" outlineLevel="0" collapsed="false">
      <c r="B29" s="4" t="s">
        <v>23</v>
      </c>
    </row>
    <row r="30" customFormat="false" ht="15" hidden="false" customHeight="false" outlineLevel="0" collapsed="false">
      <c r="B30" s="4" t="s">
        <v>24</v>
      </c>
    </row>
    <row r="32" customFormat="false" ht="19.5" hidden="false" customHeight="true" outlineLevel="0" collapsed="false">
      <c r="B32" s="3" t="s">
        <v>25</v>
      </c>
    </row>
    <row r="33" customFormat="false" ht="15" hidden="false" customHeight="false" outlineLevel="0" collapsed="false">
      <c r="B33" s="4" t="s">
        <v>26</v>
      </c>
    </row>
    <row r="34" customFormat="false" ht="15" hidden="false" customHeight="false" outlineLevel="0" collapsed="false">
      <c r="B34" s="4" t="s">
        <v>27</v>
      </c>
    </row>
    <row r="35" customFormat="false" ht="15" hidden="false" customHeight="false" outlineLevel="0" collapsed="false">
      <c r="B35" s="4" t="s">
        <v>28</v>
      </c>
    </row>
    <row r="36" customFormat="false" ht="15" hidden="false" customHeight="false" outlineLevel="0" collapsed="false">
      <c r="B36" s="4" t="s">
        <v>29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B1:D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20"/>
    <col collapsed="false" customWidth="true" hidden="false" outlineLevel="0" max="4" min="4" style="0" width="70"/>
  </cols>
  <sheetData>
    <row r="1" customFormat="false" ht="24" hidden="false" customHeight="true" outlineLevel="0" collapsed="false">
      <c r="B1" s="5" t="s">
        <v>30</v>
      </c>
      <c r="C1" s="5"/>
      <c r="D1" s="5"/>
    </row>
    <row r="2" customFormat="false" ht="15" hidden="false" customHeight="false" outlineLevel="0" collapsed="false">
      <c r="B2" s="6" t="s">
        <v>31</v>
      </c>
      <c r="C2" s="6"/>
      <c r="D2" s="6"/>
    </row>
    <row r="4" customFormat="false" ht="19.5" hidden="false" customHeight="true" outlineLevel="0" collapsed="false">
      <c r="B4" s="7" t="s">
        <v>32</v>
      </c>
      <c r="C4" s="7"/>
      <c r="D4" s="7"/>
    </row>
    <row r="5" customFormat="false" ht="22.35" hidden="false" customHeight="false" outlineLevel="0" collapsed="false">
      <c r="B5" s="8" t="s">
        <v>33</v>
      </c>
      <c r="C5" s="9" t="s">
        <v>34</v>
      </c>
      <c r="D5" s="10" t="s">
        <v>35</v>
      </c>
    </row>
    <row r="6" customFormat="false" ht="15" hidden="false" customHeight="false" outlineLevel="0" collapsed="false">
      <c r="B6" s="8" t="s">
        <v>36</v>
      </c>
      <c r="C6" s="11" t="n">
        <v>0.05</v>
      </c>
      <c r="D6" s="10" t="s">
        <v>37</v>
      </c>
    </row>
    <row r="7" customFormat="false" ht="15" hidden="false" customHeight="false" outlineLevel="0" collapsed="false">
      <c r="B7" s="8" t="s">
        <v>38</v>
      </c>
      <c r="C7" s="12" t="n">
        <v>50</v>
      </c>
      <c r="D7" s="10" t="s">
        <v>39</v>
      </c>
    </row>
    <row r="8" customFormat="false" ht="22.35" hidden="false" customHeight="false" outlineLevel="0" collapsed="false">
      <c r="B8" s="8" t="s">
        <v>40</v>
      </c>
      <c r="C8" s="12" t="n">
        <v>20</v>
      </c>
      <c r="D8" s="10" t="s">
        <v>41</v>
      </c>
    </row>
    <row r="9" customFormat="false" ht="22.35" hidden="false" customHeight="false" outlineLevel="0" collapsed="false">
      <c r="B9" s="8" t="s">
        <v>42</v>
      </c>
      <c r="C9" s="13" t="n">
        <v>0.1</v>
      </c>
      <c r="D9" s="10" t="s">
        <v>43</v>
      </c>
    </row>
    <row r="11" customFormat="false" ht="19.5" hidden="false" customHeight="true" outlineLevel="0" collapsed="false">
      <c r="B11" s="7" t="s">
        <v>44</v>
      </c>
      <c r="C11" s="7"/>
      <c r="D11" s="7"/>
    </row>
    <row r="12" customFormat="false" ht="22.35" hidden="false" customHeight="false" outlineLevel="0" collapsed="false">
      <c r="B12" s="8" t="s">
        <v>45</v>
      </c>
      <c r="C12" s="14" t="n">
        <v>50</v>
      </c>
      <c r="D12" s="10" t="s">
        <v>46</v>
      </c>
    </row>
    <row r="13" customFormat="false" ht="15" hidden="false" customHeight="false" outlineLevel="0" collapsed="false">
      <c r="B13" s="8" t="s">
        <v>47</v>
      </c>
      <c r="C13" s="14" t="n">
        <v>50</v>
      </c>
      <c r="D13" s="10" t="s">
        <v>48</v>
      </c>
    </row>
    <row r="14" customFormat="false" ht="15" hidden="false" customHeight="false" outlineLevel="0" collapsed="false">
      <c r="B14" s="8" t="s">
        <v>49</v>
      </c>
      <c r="C14" s="15" t="n">
        <v>5000</v>
      </c>
      <c r="D14" s="10" t="s">
        <v>50</v>
      </c>
    </row>
    <row r="15" customFormat="false" ht="15" hidden="false" customHeight="false" outlineLevel="0" collapsed="false">
      <c r="B15" s="8" t="s">
        <v>51</v>
      </c>
      <c r="C15" s="15" t="n">
        <v>14</v>
      </c>
      <c r="D15" s="10" t="s">
        <v>52</v>
      </c>
    </row>
    <row r="17" customFormat="false" ht="19.5" hidden="false" customHeight="true" outlineLevel="0" collapsed="false">
      <c r="B17" s="7" t="s">
        <v>53</v>
      </c>
      <c r="C17" s="7"/>
      <c r="D17" s="7"/>
    </row>
    <row r="18" customFormat="false" ht="15" hidden="false" customHeight="false" outlineLevel="0" collapsed="false">
      <c r="B18" s="8" t="s">
        <v>54</v>
      </c>
      <c r="C18" s="16" t="n">
        <v>0.95</v>
      </c>
      <c r="D18" s="10" t="s">
        <v>55</v>
      </c>
    </row>
    <row r="19" customFormat="false" ht="22.35" hidden="false" customHeight="false" outlineLevel="0" collapsed="false">
      <c r="B19" s="8" t="s">
        <v>56</v>
      </c>
      <c r="C19" s="16" t="n">
        <v>0.8</v>
      </c>
      <c r="D19" s="10" t="s">
        <v>57</v>
      </c>
    </row>
    <row r="20" customFormat="false" ht="15" hidden="false" customHeight="false" outlineLevel="0" collapsed="false">
      <c r="B20" s="8" t="s">
        <v>58</v>
      </c>
      <c r="C20" s="17" t="n">
        <v>0.01</v>
      </c>
      <c r="D20" s="10" t="s">
        <v>59</v>
      </c>
    </row>
    <row r="22" customFormat="false" ht="19.5" hidden="false" customHeight="true" outlineLevel="0" collapsed="false">
      <c r="B22" s="7" t="s">
        <v>60</v>
      </c>
      <c r="C22" s="7"/>
      <c r="D22" s="7"/>
    </row>
    <row r="23" customFormat="false" ht="15" hidden="false" customHeight="false" outlineLevel="0" collapsed="false">
      <c r="B23" s="8" t="s">
        <v>61</v>
      </c>
      <c r="C23" s="18" t="n">
        <f aca="false">IFERROR(ROUNDUP((C41+C42)^2*C45/C40^2,0),"Check inputs")</f>
        <v>31231</v>
      </c>
    </row>
    <row r="24" customFormat="false" ht="15" hidden="false" customHeight="false" outlineLevel="0" collapsed="false">
      <c r="B24" s="8" t="s">
        <v>62</v>
      </c>
      <c r="C24" s="18" t="n">
        <f aca="false">IFERROR(ROUNDUP(C23*C37,0),"Check inputs")</f>
        <v>31231</v>
      </c>
    </row>
    <row r="25" customFormat="false" ht="15" hidden="false" customHeight="false" outlineLevel="0" collapsed="false">
      <c r="B25" s="8" t="s">
        <v>63</v>
      </c>
      <c r="C25" s="18" t="n">
        <f aca="false">IFERROR(C23+C24,"Check inputs")</f>
        <v>62462</v>
      </c>
    </row>
    <row r="26" customFormat="false" ht="15" hidden="false" customHeight="false" outlineLevel="0" collapsed="false">
      <c r="B26" s="8" t="s">
        <v>64</v>
      </c>
      <c r="C26" s="18" t="n">
        <f aca="false">IFERROR(ROUNDUP(MAX(C23/C43,C24/C44),0),"Check inputs")</f>
        <v>13</v>
      </c>
    </row>
    <row r="27" customFormat="false" ht="15" hidden="false" customHeight="false" outlineLevel="0" collapsed="false">
      <c r="B27" s="8" t="s">
        <v>65</v>
      </c>
      <c r="C27" s="18" t="n">
        <f aca="false">IFERROR(MAX(7,ROUNDUP(C26/7,0)*7),"Check inputs")</f>
        <v>14</v>
      </c>
      <c r="D27" s="10" t="s">
        <v>66</v>
      </c>
    </row>
    <row r="29" customFormat="false" ht="19.5" hidden="false" customHeight="true" outlineLevel="0" collapsed="false">
      <c r="B29" s="7" t="s">
        <v>67</v>
      </c>
      <c r="C29" s="7"/>
      <c r="D29" s="7"/>
    </row>
    <row r="30" customFormat="false" ht="15" hidden="false" customHeight="false" outlineLevel="0" collapsed="false">
      <c r="B30" s="8" t="s">
        <v>68</v>
      </c>
      <c r="C30" s="18" t="n">
        <f aca="false">C43*C15</f>
        <v>35000</v>
      </c>
    </row>
    <row r="31" customFormat="false" ht="15" hidden="false" customHeight="false" outlineLevel="0" collapsed="false">
      <c r="B31" s="8" t="s">
        <v>69</v>
      </c>
      <c r="C31" s="18" t="n">
        <f aca="false">C44*C15</f>
        <v>35000</v>
      </c>
    </row>
    <row r="32" customFormat="false" ht="15" hidden="false" customHeight="false" outlineLevel="0" collapsed="false">
      <c r="B32" s="8" t="s">
        <v>70</v>
      </c>
      <c r="C32" s="19" t="n">
        <f aca="false">IFERROR(NORMSDIST(C40/IF($C$5="Conversion rate (%)",SQRT(C38*(1-C38)/C30+C39*(1-C39)/C31),C8*SQRT(1/C30+1/C31))-C41),"Check inputs")</f>
        <v>0.842761299126479</v>
      </c>
      <c r="D32" s="10" t="s">
        <v>71</v>
      </c>
    </row>
    <row r="33" customFormat="false" ht="23.85" hidden="false" customHeight="false" outlineLevel="0" collapsed="false">
      <c r="B33" s="8" t="s">
        <v>72</v>
      </c>
      <c r="C33" s="20" t="n">
        <f aca="false">IFERROR((C41+C42)*IF($C$5="Conversion rate (%)",SQRT(C38*(1-C38)*(1/C30+1/C31)),C8*SQRT(1/C30+1/C31))/C38,"Check inputs")</f>
        <v>0.0923127339776921</v>
      </c>
    </row>
    <row r="34" customFormat="false" ht="48" hidden="false" customHeight="true" outlineLevel="0" collapsed="false">
      <c r="B34" s="8" t="s">
        <v>73</v>
      </c>
      <c r="C34" s="21" t="str">
        <f aca="false">IF(ISNUMBER(C32),IF(C32&gt;=C19,"Your plan is big enough. You have about a "&amp;TEXT(C32,"0%")&amp;" chance of spotting a real improvement of "&amp;TEXT(C9,"0%")&amp;" or more.","Your plan is too short. Run the test for at least "&amp;C27&amp;" days, or accept that only improvements of "&amp;TEXT(C33,"0.0%")&amp;" or more can be spotted reliably."),"Check the yellow cells above.")</f>
        <v>Your plan is big enough. You have about a 84% chance of spotting a real improvement of 10% or more.</v>
      </c>
      <c r="D34" s="21"/>
    </row>
    <row r="36" customFormat="false" ht="19.5" hidden="false" customHeight="true" outlineLevel="0" collapsed="false">
      <c r="B36" s="7" t="s">
        <v>74</v>
      </c>
      <c r="C36" s="7"/>
      <c r="D36" s="7"/>
    </row>
    <row r="37" customFormat="false" ht="15" hidden="false" customHeight="false" outlineLevel="0" collapsed="false">
      <c r="B37" s="8" t="s">
        <v>75</v>
      </c>
      <c r="C37" s="22" t="n">
        <f aca="false">IF(AND(C12&gt;0,C13&gt;0),C13/C12,1)</f>
        <v>1</v>
      </c>
    </row>
    <row r="38" customFormat="false" ht="15" hidden="false" customHeight="false" outlineLevel="0" collapsed="false">
      <c r="B38" s="8" t="s">
        <v>76</v>
      </c>
      <c r="C38" s="23" t="n">
        <f aca="false">IF($C$5="Conversion rate (%)",C6,C7)</f>
        <v>0.05</v>
      </c>
    </row>
    <row r="39" customFormat="false" ht="15" hidden="false" customHeight="false" outlineLevel="0" collapsed="false">
      <c r="B39" s="8" t="s">
        <v>77</v>
      </c>
      <c r="C39" s="23" t="n">
        <f aca="false">C38*(1+C9)</f>
        <v>0.055</v>
      </c>
    </row>
    <row r="40" customFormat="false" ht="15" hidden="false" customHeight="false" outlineLevel="0" collapsed="false">
      <c r="B40" s="8" t="s">
        <v>78</v>
      </c>
      <c r="C40" s="23" t="n">
        <f aca="false">C39-C38</f>
        <v>0.005</v>
      </c>
    </row>
    <row r="41" customFormat="false" ht="15" hidden="false" customHeight="false" outlineLevel="0" collapsed="false">
      <c r="B41" s="8" t="s">
        <v>79</v>
      </c>
      <c r="C41" s="24" t="n">
        <f aca="false">NORMSINV(1-(1-C18)/2)</f>
        <v>1.95996398454005</v>
      </c>
    </row>
    <row r="42" customFormat="false" ht="15" hidden="false" customHeight="false" outlineLevel="0" collapsed="false">
      <c r="B42" s="8" t="s">
        <v>80</v>
      </c>
      <c r="C42" s="24" t="n">
        <f aca="false">NORMSINV(C19)</f>
        <v>0.841621233572914</v>
      </c>
    </row>
    <row r="43" customFormat="false" ht="15" hidden="false" customHeight="false" outlineLevel="0" collapsed="false">
      <c r="B43" s="8" t="s">
        <v>81</v>
      </c>
      <c r="C43" s="25" t="n">
        <f aca="false">C14*C12/(C12+C13)</f>
        <v>2500</v>
      </c>
    </row>
    <row r="44" customFormat="false" ht="15" hidden="false" customHeight="false" outlineLevel="0" collapsed="false">
      <c r="B44" s="8" t="s">
        <v>82</v>
      </c>
      <c r="C44" s="25" t="n">
        <f aca="false">C14*C13/(C12+C13)</f>
        <v>2500</v>
      </c>
    </row>
    <row r="45" customFormat="false" ht="15" hidden="false" customHeight="false" outlineLevel="0" collapsed="false">
      <c r="B45" s="8" t="s">
        <v>83</v>
      </c>
      <c r="C45" s="23" t="n">
        <f aca="false">IF($C$5="Conversion rate (%)",C38*(1-C38)+C39*(1-C39)/C37,C8^2*(1+1/C37))</f>
        <v>0.099475</v>
      </c>
      <c r="D45" s="10" t="s">
        <v>84</v>
      </c>
    </row>
  </sheetData>
  <mergeCells count="9">
    <mergeCell ref="B1:D1"/>
    <mergeCell ref="B2:D2"/>
    <mergeCell ref="B4:D4"/>
    <mergeCell ref="B11:D11"/>
    <mergeCell ref="B17:D17"/>
    <mergeCell ref="B22:D22"/>
    <mergeCell ref="B29:D29"/>
    <mergeCell ref="C34:D34"/>
    <mergeCell ref="B36:D36"/>
  </mergeCells>
  <conditionalFormatting sqref="C34">
    <cfRule type="expression" priority="2" aboveAverage="0" equalAverage="0" bottom="0" percent="0" rank="0" text="" dxfId="0">
      <formula>ISNUMBER(SEARCH("big enough",C34))</formula>
    </cfRule>
    <cfRule type="expression" priority="3" aboveAverage="0" equalAverage="0" bottom="0" percent="0" rank="0" text="" dxfId="1">
      <formula>ISNUMBER(SEARCH("too short",C34))</formula>
    </cfRule>
  </conditionalFormatting>
  <conditionalFormatting sqref="C32">
    <cfRule type="expression" priority="4" aboveAverage="0" equalAverage="0" bottom="0" percent="0" rank="0" text="" dxfId="0">
      <formula>AND(ISNUMBER(C32),C32&gt;=$C$19)</formula>
    </cfRule>
    <cfRule type="expression" priority="5" aboveAverage="0" equalAverage="0" bottom="0" percent="0" rank="0" text="" dxfId="1">
      <formula>AND(ISNUMBER(C32),C32&lt;$C$19)</formula>
    </cfRule>
  </conditionalFormatting>
  <dataValidations count="3">
    <dataValidation allowBlank="false" errorStyle="stop" operator="between" showDropDown="false" showErrorMessage="false" showInputMessage="false" sqref="C5" type="list">
      <formula1>"Conversion rate (%),Average value"</formula1>
      <formula2>0</formula2>
    </dataValidation>
    <dataValidation allowBlank="false" error="Enter a percentage between 0% and 100%." errorStyle="stop" errorTitle="Check this value" operator="between" showDropDown="false" showErrorMessage="false" showInputMessage="false" sqref="C6 C9 C18:C20" type="decimal">
      <formula1>0.0001</formula1>
      <formula2>0.9999</formula2>
    </dataValidation>
    <dataValidation allowBlank="false" error="Enter a number greater than zero." errorStyle="stop" errorTitle="Check this value" operator="greaterThan" showDropDown="false" showErrorMessage="false" showInputMessage="false" sqref="C7:C8 C12:C15"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true"/>
  </sheetPr>
  <dimension ref="B1:D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2"/>
    <col collapsed="false" customWidth="true" hidden="false" outlineLevel="0" max="3" min="3" style="0" width="22"/>
    <col collapsed="false" customWidth="true" hidden="false" outlineLevel="0" max="4" min="4" style="0" width="66"/>
  </cols>
  <sheetData>
    <row r="1" customFormat="false" ht="24" hidden="false" customHeight="true" outlineLevel="0" collapsed="false">
      <c r="B1" s="5" t="s">
        <v>85</v>
      </c>
      <c r="C1" s="5"/>
      <c r="D1" s="5"/>
    </row>
    <row r="2" customFormat="false" ht="15" hidden="false" customHeight="false" outlineLevel="0" collapsed="false">
      <c r="B2" s="6" t="s">
        <v>86</v>
      </c>
      <c r="C2" s="6"/>
      <c r="D2" s="6"/>
    </row>
    <row r="4" customFormat="false" ht="19.5" hidden="false" customHeight="true" outlineLevel="0" collapsed="false">
      <c r="B4" s="7" t="s">
        <v>87</v>
      </c>
      <c r="C4" s="7"/>
      <c r="D4" s="7"/>
    </row>
    <row r="5" customFormat="false" ht="15" hidden="false" customHeight="false" outlineLevel="0" collapsed="false">
      <c r="B5" s="8" t="s">
        <v>88</v>
      </c>
      <c r="C5" s="15" t="n">
        <v>10000</v>
      </c>
      <c r="D5" s="10" t="s">
        <v>89</v>
      </c>
    </row>
    <row r="6" customFormat="false" ht="15" hidden="false" customHeight="false" outlineLevel="0" collapsed="false">
      <c r="B6" s="8" t="s">
        <v>90</v>
      </c>
      <c r="C6" s="15" t="n">
        <v>9900</v>
      </c>
    </row>
    <row r="7" customFormat="false" ht="15" hidden="false" customHeight="false" outlineLevel="0" collapsed="false">
      <c r="B7" s="8" t="s">
        <v>91</v>
      </c>
      <c r="C7" s="11" t="n">
        <v>0.05</v>
      </c>
    </row>
    <row r="8" customFormat="false" ht="23.85" hidden="false" customHeight="false" outlineLevel="0" collapsed="false">
      <c r="B8" s="8" t="s">
        <v>92</v>
      </c>
      <c r="C8" s="11" t="n">
        <v>0.057</v>
      </c>
    </row>
    <row r="9" customFormat="false" ht="15" hidden="false" customHeight="false" outlineLevel="0" collapsed="false">
      <c r="B9" s="8" t="s">
        <v>93</v>
      </c>
      <c r="C9" s="12" t="n">
        <v>50</v>
      </c>
    </row>
    <row r="10" customFormat="false" ht="15" hidden="false" customHeight="false" outlineLevel="0" collapsed="false">
      <c r="B10" s="8" t="s">
        <v>94</v>
      </c>
      <c r="C10" s="12" t="n">
        <v>53</v>
      </c>
    </row>
    <row r="11" customFormat="false" ht="15" hidden="false" customHeight="false" outlineLevel="0" collapsed="false">
      <c r="B11" s="8" t="s">
        <v>95</v>
      </c>
      <c r="C11" s="26" t="str">
        <f aca="false">'Plan Test'!C5</f>
        <v>Conversion rate (%)</v>
      </c>
    </row>
    <row r="12" customFormat="false" ht="15" hidden="false" customHeight="false" outlineLevel="0" collapsed="false">
      <c r="B12" s="8" t="s">
        <v>96</v>
      </c>
      <c r="C12" s="26" t="str">
        <f aca="false">'Plan Test'!C12&amp;" : "&amp;'Plan Test'!C13</f>
        <v>50 : 50</v>
      </c>
    </row>
    <row r="13" customFormat="false" ht="15" hidden="false" customHeight="false" outlineLevel="0" collapsed="false">
      <c r="B13" s="8" t="s">
        <v>97</v>
      </c>
      <c r="C13" s="26" t="str">
        <f aca="false">IF('Plan Test'!C5="Conversion rate (%)",TEXT('Plan Test'!C6,"0.00%"),TEXT('Plan Test'!C7,"#,##0.00"))</f>
        <v>5.00%</v>
      </c>
    </row>
    <row r="15" customFormat="false" ht="19.5" hidden="false" customHeight="true" outlineLevel="0" collapsed="false">
      <c r="B15" s="7" t="s">
        <v>98</v>
      </c>
      <c r="C15" s="7"/>
      <c r="D15" s="7"/>
    </row>
    <row r="16" customFormat="false" ht="15" hidden="false" customHeight="false" outlineLevel="0" collapsed="false">
      <c r="B16" s="8" t="s">
        <v>99</v>
      </c>
      <c r="C16" s="27" t="n">
        <f aca="false">'Plan Test'!C12/('Plan Test'!C12+'Plan Test'!C13)</f>
        <v>0.5</v>
      </c>
    </row>
    <row r="17" customFormat="false" ht="15" hidden="false" customHeight="false" outlineLevel="0" collapsed="false">
      <c r="B17" s="8" t="s">
        <v>100</v>
      </c>
      <c r="C17" s="27" t="n">
        <f aca="false">C5/(C5+C6)</f>
        <v>0.50251256281407</v>
      </c>
    </row>
    <row r="18" customFormat="false" ht="15" hidden="false" customHeight="false" outlineLevel="0" collapsed="false">
      <c r="B18" s="8" t="s">
        <v>101</v>
      </c>
      <c r="C18" s="28" t="n">
        <f aca="false">(C5+C6)*C16</f>
        <v>9950</v>
      </c>
    </row>
    <row r="19" customFormat="false" ht="15" hidden="false" customHeight="false" outlineLevel="0" collapsed="false">
      <c r="B19" s="8" t="s">
        <v>102</v>
      </c>
      <c r="C19" s="28" t="n">
        <f aca="false">(C5+C6)*(1-C16)</f>
        <v>9950</v>
      </c>
    </row>
    <row r="20" customFormat="false" ht="15" hidden="false" customHeight="false" outlineLevel="0" collapsed="false">
      <c r="B20" s="8" t="s">
        <v>103</v>
      </c>
      <c r="C20" s="29" t="n">
        <f aca="false">(C5-C18)^2/C18+(C6-C19)^2/C19</f>
        <v>0.50251256281407</v>
      </c>
    </row>
    <row r="21" customFormat="false" ht="15" hidden="false" customHeight="false" outlineLevel="0" collapsed="false">
      <c r="B21" s="8" t="s">
        <v>104</v>
      </c>
      <c r="C21" s="30" t="n">
        <f aca="false">CHIDIST(C20,1)</f>
        <v>0.478398199448936</v>
      </c>
      <c r="D21" s="10" t="s">
        <v>105</v>
      </c>
    </row>
    <row r="22" customFormat="false" ht="48" hidden="false" customHeight="true" outlineLevel="0" collapsed="false">
      <c r="B22" s="8" t="s">
        <v>106</v>
      </c>
      <c r="C22" s="21" t="str">
        <f aca="false">IF(C21&lt;'Plan Test'!C20,"PROBLEM: the split is off by more than luck can explain. Do not trust the result below. Ask your data or engineering team how customers were assigned to groups.","OK: the split matches your plan. You can read the result below.")</f>
        <v>OK: the split matches your plan. You can read the result below.</v>
      </c>
      <c r="D22" s="21"/>
    </row>
    <row r="24" customFormat="false" ht="19.5" hidden="false" customHeight="true" outlineLevel="0" collapsed="false">
      <c r="B24" s="7" t="s">
        <v>107</v>
      </c>
      <c r="C24" s="7"/>
      <c r="D24" s="7"/>
    </row>
    <row r="25" customFormat="false" ht="15" hidden="false" customHeight="false" outlineLevel="0" collapsed="false">
      <c r="B25" s="8" t="s">
        <v>108</v>
      </c>
      <c r="C25" s="26" t="str">
        <f aca="false">IF($C$11="Conversion rate (%)",TEXT(C35,"0.00%"),TEXT(C35,"#,##0.00"))</f>
        <v>5.00%</v>
      </c>
    </row>
    <row r="26" customFormat="false" ht="15" hidden="false" customHeight="false" outlineLevel="0" collapsed="false">
      <c r="B26" s="8" t="s">
        <v>109</v>
      </c>
      <c r="C26" s="26" t="str">
        <f aca="false">IF($C$11="Conversion rate (%)",TEXT(C36,"0.00%"),TEXT(C36,"#,##0.00"))</f>
        <v>5.70%</v>
      </c>
    </row>
    <row r="27" customFormat="false" ht="15" hidden="false" customHeight="false" outlineLevel="0" collapsed="false">
      <c r="B27" s="8" t="s">
        <v>110</v>
      </c>
      <c r="C27" s="31" t="n">
        <f aca="false">IFERROR(C37/C35,"n/a")</f>
        <v>0.14</v>
      </c>
      <c r="D27" s="10" t="s">
        <v>111</v>
      </c>
    </row>
    <row r="28" customFormat="false" ht="15" hidden="false" customHeight="false" outlineLevel="0" collapsed="false">
      <c r="B28" s="8" t="s">
        <v>112</v>
      </c>
      <c r="C28" s="26" t="str">
        <f aca="false">IFERROR(TEXT(C42/C35,"+0.0%;-0.0%;0.0%")&amp;" to "&amp;TEXT(C43/C35,"+0.0%;-0.0%;0.0%"),"n/a")</f>
        <v>+1.5% to +26.5%</v>
      </c>
      <c r="D28" s="10" t="s">
        <v>113</v>
      </c>
    </row>
    <row r="29" customFormat="false" ht="15" hidden="false" customHeight="false" outlineLevel="0" collapsed="false">
      <c r="B29" s="8" t="s">
        <v>114</v>
      </c>
      <c r="C29" s="27" t="n">
        <f aca="false">C40</f>
        <v>0.0282352439781255</v>
      </c>
      <c r="D29" s="10" t="s">
        <v>115</v>
      </c>
    </row>
    <row r="30" customFormat="false" ht="15" hidden="false" customHeight="false" outlineLevel="0" collapsed="false">
      <c r="B30" s="8" t="s">
        <v>116</v>
      </c>
      <c r="C30" s="27" t="n">
        <f aca="false">IFERROR((C41+'Plan Test'!C42)*IF($C$11="Conversion rate (%)",SQRT(C35*(1-C35)*(1/C5+1/C6)),'Plan Test'!C8*SQRT(1/C5+1/C6))/C35,"n/a")</f>
        <v>0.173136876650052</v>
      </c>
    </row>
    <row r="31" customFormat="false" ht="51.75" hidden="false" customHeight="true" outlineLevel="0" collapsed="false">
      <c r="B31" s="8" t="s">
        <v>73</v>
      </c>
      <c r="C31" s="21" t="str">
        <f aca="false">IFERROR(IF(LEFT(C22,7)="PROBLEM","Fix the split problem first. This result cannot be trusted.",IF(C40&lt;1-'Plan Test'!C18,IF(C37&gt;0,"Treatment is better. The improvement is unlikely to be luck.","Treatment is worse than Control. The drop is unlikely to be luck."),"No clear winner. The difference is small enough to be luck. A test this size can only reliably spot changes of "&amp;TEXT(C30,"0.0%")&amp;" or more.")),"Check the yellow cells above.")</f>
        <v>Treatment is better. The improvement is unlikely to be luck.</v>
      </c>
      <c r="D31" s="21"/>
    </row>
    <row r="33" customFormat="false" ht="19.5" hidden="false" customHeight="true" outlineLevel="0" collapsed="false">
      <c r="B33" s="7" t="s">
        <v>74</v>
      </c>
      <c r="C33" s="7"/>
      <c r="D33" s="7"/>
    </row>
    <row r="35" customFormat="false" ht="15" hidden="false" customHeight="false" outlineLevel="0" collapsed="false">
      <c r="B35" s="8" t="s">
        <v>117</v>
      </c>
      <c r="C35" s="23" t="n">
        <f aca="false">IF($C$11="Conversion rate (%)",C7,C9)</f>
        <v>0.05</v>
      </c>
    </row>
    <row r="36" customFormat="false" ht="15" hidden="false" customHeight="false" outlineLevel="0" collapsed="false">
      <c r="B36" s="8" t="s">
        <v>118</v>
      </c>
      <c r="C36" s="23" t="n">
        <f aca="false">IF($C$11="Conversion rate (%)",C8,C10)</f>
        <v>0.057</v>
      </c>
    </row>
    <row r="37" customFormat="false" ht="15" hidden="false" customHeight="false" outlineLevel="0" collapsed="false">
      <c r="B37" s="8" t="s">
        <v>119</v>
      </c>
      <c r="C37" s="23" t="n">
        <f aca="false">C36-C35</f>
        <v>0.007</v>
      </c>
    </row>
    <row r="38" customFormat="false" ht="15" hidden="false" customHeight="false" outlineLevel="0" collapsed="false">
      <c r="B38" s="8" t="s">
        <v>120</v>
      </c>
      <c r="C38" s="32" t="n">
        <f aca="false">IF($C$11="Conversion rate (%)",SQRT(C35*(1-C35)/C5+C36*(1-C36)/C6),'Plan Test'!C8*SQRT(1/C5+1/C6))</f>
        <v>0.00319051624966775</v>
      </c>
    </row>
    <row r="39" customFormat="false" ht="15" hidden="false" customHeight="false" outlineLevel="0" collapsed="false">
      <c r="B39" s="8" t="s">
        <v>121</v>
      </c>
      <c r="C39" s="24" t="n">
        <f aca="false">IFERROR(C37/C38,0)</f>
        <v>2.19400230314732</v>
      </c>
    </row>
    <row r="40" customFormat="false" ht="15" hidden="false" customHeight="false" outlineLevel="0" collapsed="false">
      <c r="B40" s="8" t="s">
        <v>122</v>
      </c>
      <c r="C40" s="23" t="n">
        <f aca="false">2*(1-NORMSDIST(ABS(C39)))</f>
        <v>0.0282352439781255</v>
      </c>
    </row>
    <row r="41" customFormat="false" ht="15" hidden="false" customHeight="false" outlineLevel="0" collapsed="false">
      <c r="B41" s="8" t="s">
        <v>123</v>
      </c>
      <c r="C41" s="24" t="n">
        <f aca="false">'Plan Test'!C41</f>
        <v>1.95996398454005</v>
      </c>
    </row>
    <row r="42" customFormat="false" ht="15" hidden="false" customHeight="false" outlineLevel="0" collapsed="false">
      <c r="B42" s="8" t="s">
        <v>124</v>
      </c>
      <c r="C42" s="23" t="n">
        <f aca="false">C37-C41*C38</f>
        <v>0.000746703058561415</v>
      </c>
    </row>
    <row r="43" customFormat="false" ht="15" hidden="false" customHeight="false" outlineLevel="0" collapsed="false">
      <c r="B43" s="8" t="s">
        <v>125</v>
      </c>
      <c r="C43" s="23" t="n">
        <f aca="false">C37+C41*C38</f>
        <v>0.0132532969414386</v>
      </c>
    </row>
  </sheetData>
  <mergeCells count="8">
    <mergeCell ref="B1:D1"/>
    <mergeCell ref="B2:D2"/>
    <mergeCell ref="B4:D4"/>
    <mergeCell ref="B15:D15"/>
    <mergeCell ref="C22:D22"/>
    <mergeCell ref="B24:D24"/>
    <mergeCell ref="C31:D31"/>
    <mergeCell ref="B33:D33"/>
  </mergeCells>
  <conditionalFormatting sqref="C22">
    <cfRule type="expression" priority="2" aboveAverage="0" equalAverage="0" bottom="0" percent="0" rank="0" text="" dxfId="0">
      <formula>LEFT(C22,2)="OK"</formula>
    </cfRule>
    <cfRule type="expression" priority="3" aboveAverage="0" equalAverage="0" bottom="0" percent="0" rank="0" text="" dxfId="1">
      <formula>LEFT(C22,7)="PROBLEM"</formula>
    </cfRule>
  </conditionalFormatting>
  <conditionalFormatting sqref="C31">
    <cfRule type="expression" priority="4" aboveAverage="0" equalAverage="0" bottom="0" percent="0" rank="0" text="" dxfId="0">
      <formula>ISNUMBER(SEARCH("better",C31))</formula>
    </cfRule>
    <cfRule type="expression" priority="5" aboveAverage="0" equalAverage="0" bottom="0" percent="0" rank="0" text="" dxfId="1">
      <formula>ISNUMBER(SEARCH("worse",C31))</formula>
    </cfRule>
    <cfRule type="expression" priority="6" aboveAverage="0" equalAverage="0" bottom="0" percent="0" rank="0" text="" dxfId="1">
      <formula>LEFT(C31,3)="Fix"</formula>
    </cfRule>
    <cfRule type="expression" priority="7" aboveAverage="0" equalAverage="0" bottom="0" percent="0" rank="0" text="" dxfId="2">
      <formula>LEFT(C31,2)="No"</formula>
    </cfRule>
  </conditionalFormatting>
  <dataValidations count="2">
    <dataValidation allowBlank="false" error="Enter a percentage between 0% and 100%." errorStyle="stop" errorTitle="Check this value" operator="between" showDropDown="false" showErrorMessage="false" showInputMessage="false" sqref="C7:C8" type="decimal">
      <formula1>0.0001</formula1>
      <formula2>0.9999</formula2>
    </dataValidation>
    <dataValidation allowBlank="false" error="Enter a number greater than zero." errorStyle="stop" errorTitle="Check this value" operator="greaterThan" showDropDown="false" showErrorMessage="false" showInputMessage="false" sqref="C5:C6 C9:C10"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2026-10-11T09:23:34Z</dcterms:created>
  <dc:creator>openpyxl</dc:creator>
  <dc:description/>
  <dc:language>en-US</dc:language>
  <cp:lastModifiedBy/>
  <dcterms:modified xsi:type="dcterms:W3CDTF">2026-10-11T09:23:34Z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